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120" windowWidth="14355" windowHeight="5130"/>
  </bookViews>
  <sheets>
    <sheet name="Optimization" sheetId="6" r:id="rId1"/>
    <sheet name="Load" sheetId="7" r:id="rId2"/>
  </sheets>
  <definedNames>
    <definedName name="solver_adj" localSheetId="0" hidden="1">Optimization!$B$338:$LY$338,Optimization!$MB$2:$MC$337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Optimization!$B$338:$LY$338</definedName>
    <definedName name="solver_lhs2" localSheetId="0" hidden="1">Optimization!$B$338:$LY$338</definedName>
    <definedName name="solver_lhs3" localSheetId="0" hidden="1">Optimization!$LZ$2:$LZ$337</definedName>
    <definedName name="solver_lhs4" localSheetId="0" hidden="1">Optimization!$MB$2:$MC$337</definedName>
    <definedName name="solver_lin" localSheetId="0" hidden="1">1</definedName>
    <definedName name="solver_neg" localSheetId="0" hidden="1">1</definedName>
    <definedName name="solver_num" localSheetId="0" hidden="1">4</definedName>
    <definedName name="solver_nwt" localSheetId="0" hidden="1">1</definedName>
    <definedName name="solver_opt" localSheetId="0" hidden="1">Optimization!$MI$3</definedName>
    <definedName name="solver_pre" localSheetId="0" hidden="1">0.000001</definedName>
    <definedName name="solver_rel1" localSheetId="0" hidden="1">4</definedName>
    <definedName name="solver_rel2" localSheetId="0" hidden="1">3</definedName>
    <definedName name="solver_rel3" localSheetId="0" hidden="1">2</definedName>
    <definedName name="solver_rel4" localSheetId="0" hidden="1">3</definedName>
    <definedName name="solver_rhs1" localSheetId="0" hidden="1">integer</definedName>
    <definedName name="solver_rhs2" localSheetId="0" hidden="1">0</definedName>
    <definedName name="solver_rhs3" localSheetId="0" hidden="1">Optimization!$MD$2:$MD$337</definedName>
    <definedName name="solver_rhs4" localSheetId="0" hidden="1">0</definedName>
    <definedName name="solver_scl" localSheetId="0" hidden="1">2</definedName>
    <definedName name="solver_sho" localSheetId="0" hidden="1">2</definedName>
    <definedName name="solver_tim" localSheetId="0" hidden="1">9999999999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45621"/>
</workbook>
</file>

<file path=xl/calcChain.xml><?xml version="1.0" encoding="utf-8"?>
<calcChain xmlns="http://schemas.openxmlformats.org/spreadsheetml/2006/main">
  <c r="ND61" i="6" l="1"/>
  <c r="MI5" i="6" l="1"/>
  <c r="MI8" i="6"/>
  <c r="MI12" i="6"/>
  <c r="MI11" i="6"/>
  <c r="MI10" i="6"/>
  <c r="MI9" i="6"/>
  <c r="MI7" i="6"/>
  <c r="MI6" i="6"/>
  <c r="ME3" i="6" l="1"/>
  <c r="ME4" i="6"/>
  <c r="ME5" i="6"/>
  <c r="ME6" i="6"/>
  <c r="ME7" i="6"/>
  <c r="ME8" i="6"/>
  <c r="ME9" i="6"/>
  <c r="ME10" i="6"/>
  <c r="ME11" i="6"/>
  <c r="ME12" i="6"/>
  <c r="ME13" i="6"/>
  <c r="ME14" i="6"/>
  <c r="ME15" i="6"/>
  <c r="ME16" i="6"/>
  <c r="ME17" i="6"/>
  <c r="ME18" i="6"/>
  <c r="ME19" i="6"/>
  <c r="ME20" i="6"/>
  <c r="ME21" i="6"/>
  <c r="ME22" i="6"/>
  <c r="ME23" i="6"/>
  <c r="ME24" i="6"/>
  <c r="ME25" i="6"/>
  <c r="ME26" i="6"/>
  <c r="ME27" i="6"/>
  <c r="ME28" i="6"/>
  <c r="ME29" i="6"/>
  <c r="ME30" i="6"/>
  <c r="ME31" i="6"/>
  <c r="ME32" i="6"/>
  <c r="ME33" i="6"/>
  <c r="ME34" i="6"/>
  <c r="ME35" i="6"/>
  <c r="ME36" i="6"/>
  <c r="ME37" i="6"/>
  <c r="ME38" i="6"/>
  <c r="ME39" i="6"/>
  <c r="ME40" i="6"/>
  <c r="ME41" i="6"/>
  <c r="ME42" i="6"/>
  <c r="ME43" i="6"/>
  <c r="ME44" i="6"/>
  <c r="ME45" i="6"/>
  <c r="ME46" i="6"/>
  <c r="ME47" i="6"/>
  <c r="ME48" i="6"/>
  <c r="ME49" i="6"/>
  <c r="ME50" i="6"/>
  <c r="ME51" i="6"/>
  <c r="ME52" i="6"/>
  <c r="ME53" i="6"/>
  <c r="ME54" i="6"/>
  <c r="ME55" i="6"/>
  <c r="ME56" i="6"/>
  <c r="ME57" i="6"/>
  <c r="ME58" i="6"/>
  <c r="ME59" i="6"/>
  <c r="ME60" i="6"/>
  <c r="ME61" i="6"/>
  <c r="ME62" i="6"/>
  <c r="ME63" i="6"/>
  <c r="ME64" i="6"/>
  <c r="ME65" i="6"/>
  <c r="ME66" i="6"/>
  <c r="ME67" i="6"/>
  <c r="ME68" i="6"/>
  <c r="ME69" i="6"/>
  <c r="ME70" i="6"/>
  <c r="ME71" i="6"/>
  <c r="ME72" i="6"/>
  <c r="ME73" i="6"/>
  <c r="ME74" i="6"/>
  <c r="ME75" i="6"/>
  <c r="ME76" i="6"/>
  <c r="ME77" i="6"/>
  <c r="ME78" i="6"/>
  <c r="ME79" i="6"/>
  <c r="ME80" i="6"/>
  <c r="ME81" i="6"/>
  <c r="ME82" i="6"/>
  <c r="ME83" i="6"/>
  <c r="ME84" i="6"/>
  <c r="ME85" i="6"/>
  <c r="ME86" i="6"/>
  <c r="ME87" i="6"/>
  <c r="ME88" i="6"/>
  <c r="ME89" i="6"/>
  <c r="ME90" i="6"/>
  <c r="ME91" i="6"/>
  <c r="ME92" i="6"/>
  <c r="ME93" i="6"/>
  <c r="ME94" i="6"/>
  <c r="ME95" i="6"/>
  <c r="ME96" i="6"/>
  <c r="ME97" i="6"/>
  <c r="ME98" i="6"/>
  <c r="ME99" i="6"/>
  <c r="ME100" i="6"/>
  <c r="ME101" i="6"/>
  <c r="ME102" i="6"/>
  <c r="ME103" i="6"/>
  <c r="ME104" i="6"/>
  <c r="ME105" i="6"/>
  <c r="ME106" i="6"/>
  <c r="ME107" i="6"/>
  <c r="ME108" i="6"/>
  <c r="ME109" i="6"/>
  <c r="ME110" i="6"/>
  <c r="ME111" i="6"/>
  <c r="ME112" i="6"/>
  <c r="ME113" i="6"/>
  <c r="ME114" i="6"/>
  <c r="ME115" i="6"/>
  <c r="ME116" i="6"/>
  <c r="ME117" i="6"/>
  <c r="ME118" i="6"/>
  <c r="ME119" i="6"/>
  <c r="ME120" i="6"/>
  <c r="ME121" i="6"/>
  <c r="ME122" i="6"/>
  <c r="ME123" i="6"/>
  <c r="ME124" i="6"/>
  <c r="ME125" i="6"/>
  <c r="ME126" i="6"/>
  <c r="ME127" i="6"/>
  <c r="ME128" i="6"/>
  <c r="ME129" i="6"/>
  <c r="ME130" i="6"/>
  <c r="ME131" i="6"/>
  <c r="ME132" i="6"/>
  <c r="ME133" i="6"/>
  <c r="ME134" i="6"/>
  <c r="ME135" i="6"/>
  <c r="ME136" i="6"/>
  <c r="ME137" i="6"/>
  <c r="ME138" i="6"/>
  <c r="ME139" i="6"/>
  <c r="ME140" i="6"/>
  <c r="ME141" i="6"/>
  <c r="ME142" i="6"/>
  <c r="ME143" i="6"/>
  <c r="ME144" i="6"/>
  <c r="ME145" i="6"/>
  <c r="ME146" i="6"/>
  <c r="ME147" i="6"/>
  <c r="ME148" i="6"/>
  <c r="ME149" i="6"/>
  <c r="ME150" i="6"/>
  <c r="ME151" i="6"/>
  <c r="ME152" i="6"/>
  <c r="ME153" i="6"/>
  <c r="ME154" i="6"/>
  <c r="ME155" i="6"/>
  <c r="ME156" i="6"/>
  <c r="ME157" i="6"/>
  <c r="ME158" i="6"/>
  <c r="ME159" i="6"/>
  <c r="ME160" i="6"/>
  <c r="ME161" i="6"/>
  <c r="ME162" i="6"/>
  <c r="ME163" i="6"/>
  <c r="ME164" i="6"/>
  <c r="ME165" i="6"/>
  <c r="ME166" i="6"/>
  <c r="ME167" i="6"/>
  <c r="ME168" i="6"/>
  <c r="ME169" i="6"/>
  <c r="ME170" i="6"/>
  <c r="ME171" i="6"/>
  <c r="ME172" i="6"/>
  <c r="ME173" i="6"/>
  <c r="ME174" i="6"/>
  <c r="ME175" i="6"/>
  <c r="ME176" i="6"/>
  <c r="ME177" i="6"/>
  <c r="ME178" i="6"/>
  <c r="ME179" i="6"/>
  <c r="ME180" i="6"/>
  <c r="ME181" i="6"/>
  <c r="ME182" i="6"/>
  <c r="ME183" i="6"/>
  <c r="ME184" i="6"/>
  <c r="ME185" i="6"/>
  <c r="ME186" i="6"/>
  <c r="ME187" i="6"/>
  <c r="ME188" i="6"/>
  <c r="ME189" i="6"/>
  <c r="ME190" i="6"/>
  <c r="ME191" i="6"/>
  <c r="ME192" i="6"/>
  <c r="ME193" i="6"/>
  <c r="ME194" i="6"/>
  <c r="ME195" i="6"/>
  <c r="ME196" i="6"/>
  <c r="ME197" i="6"/>
  <c r="ME198" i="6"/>
  <c r="ME199" i="6"/>
  <c r="ME200" i="6"/>
  <c r="ME201" i="6"/>
  <c r="ME202" i="6"/>
  <c r="ME203" i="6"/>
  <c r="ME204" i="6"/>
  <c r="ME205" i="6"/>
  <c r="ME206" i="6"/>
  <c r="ME207" i="6"/>
  <c r="ME208" i="6"/>
  <c r="ME209" i="6"/>
  <c r="ME210" i="6"/>
  <c r="ME211" i="6"/>
  <c r="ME212" i="6"/>
  <c r="ME213" i="6"/>
  <c r="ME214" i="6"/>
  <c r="ME215" i="6"/>
  <c r="ME216" i="6"/>
  <c r="ME217" i="6"/>
  <c r="ME218" i="6"/>
  <c r="ME219" i="6"/>
  <c r="ME220" i="6"/>
  <c r="ME221" i="6"/>
  <c r="ME222" i="6"/>
  <c r="ME223" i="6"/>
  <c r="ME224" i="6"/>
  <c r="ME225" i="6"/>
  <c r="ME226" i="6"/>
  <c r="ME227" i="6"/>
  <c r="ME228" i="6"/>
  <c r="ME229" i="6"/>
  <c r="ME230" i="6"/>
  <c r="ME231" i="6"/>
  <c r="ME232" i="6"/>
  <c r="ME233" i="6"/>
  <c r="ME234" i="6"/>
  <c r="ME235" i="6"/>
  <c r="ME236" i="6"/>
  <c r="ME237" i="6"/>
  <c r="ME238" i="6"/>
  <c r="ME239" i="6"/>
  <c r="ME240" i="6"/>
  <c r="ME241" i="6"/>
  <c r="ME242" i="6"/>
  <c r="ME243" i="6"/>
  <c r="ME244" i="6"/>
  <c r="ME245" i="6"/>
  <c r="ME246" i="6"/>
  <c r="ME247" i="6"/>
  <c r="ME248" i="6"/>
  <c r="ME249" i="6"/>
  <c r="ME250" i="6"/>
  <c r="ME251" i="6"/>
  <c r="ME252" i="6"/>
  <c r="ME253" i="6"/>
  <c r="ME254" i="6"/>
  <c r="ME255" i="6"/>
  <c r="ME256" i="6"/>
  <c r="ME257" i="6"/>
  <c r="ME258" i="6"/>
  <c r="ME259" i="6"/>
  <c r="ME260" i="6"/>
  <c r="ME261" i="6"/>
  <c r="ME262" i="6"/>
  <c r="ME263" i="6"/>
  <c r="ME264" i="6"/>
  <c r="ME265" i="6"/>
  <c r="ME266" i="6"/>
  <c r="ME267" i="6"/>
  <c r="ME268" i="6"/>
  <c r="ME269" i="6"/>
  <c r="ME270" i="6"/>
  <c r="ME271" i="6"/>
  <c r="ME272" i="6"/>
  <c r="ME273" i="6"/>
  <c r="ME274" i="6"/>
  <c r="ME275" i="6"/>
  <c r="ME276" i="6"/>
  <c r="ME277" i="6"/>
  <c r="ME278" i="6"/>
  <c r="ME279" i="6"/>
  <c r="ME280" i="6"/>
  <c r="ME281" i="6"/>
  <c r="ME282" i="6"/>
  <c r="ME283" i="6"/>
  <c r="ME284" i="6"/>
  <c r="ME285" i="6"/>
  <c r="ME286" i="6"/>
  <c r="ME287" i="6"/>
  <c r="ME288" i="6"/>
  <c r="ME289" i="6"/>
  <c r="ME290" i="6"/>
  <c r="ME291" i="6"/>
  <c r="ME292" i="6"/>
  <c r="ME293" i="6"/>
  <c r="ME294" i="6"/>
  <c r="ME295" i="6"/>
  <c r="ME296" i="6"/>
  <c r="ME297" i="6"/>
  <c r="ME298" i="6"/>
  <c r="ME299" i="6"/>
  <c r="ME300" i="6"/>
  <c r="ME301" i="6"/>
  <c r="ME302" i="6"/>
  <c r="ME303" i="6"/>
  <c r="ME304" i="6"/>
  <c r="ME305" i="6"/>
  <c r="ME306" i="6"/>
  <c r="ME307" i="6"/>
  <c r="ME308" i="6"/>
  <c r="ME309" i="6"/>
  <c r="ME310" i="6"/>
  <c r="ME311" i="6"/>
  <c r="ME312" i="6"/>
  <c r="ME313" i="6"/>
  <c r="ME314" i="6"/>
  <c r="ME315" i="6"/>
  <c r="ME316" i="6"/>
  <c r="ME317" i="6"/>
  <c r="ME318" i="6"/>
  <c r="ME319" i="6"/>
  <c r="ME320" i="6"/>
  <c r="ME321" i="6"/>
  <c r="ME322" i="6"/>
  <c r="ME323" i="6"/>
  <c r="ME324" i="6"/>
  <c r="ME325" i="6"/>
  <c r="ME326" i="6"/>
  <c r="ME327" i="6"/>
  <c r="ME328" i="6"/>
  <c r="ME329" i="6"/>
  <c r="ME330" i="6"/>
  <c r="ME331" i="6"/>
  <c r="ME332" i="6"/>
  <c r="ME333" i="6"/>
  <c r="ME334" i="6"/>
  <c r="ME335" i="6"/>
  <c r="ME336" i="6"/>
  <c r="ME337" i="6"/>
  <c r="C340" i="6"/>
  <c r="ME2" i="6"/>
  <c r="D340" i="6" l="1"/>
  <c r="E340" i="6" s="1"/>
  <c r="F340" i="6" s="1"/>
  <c r="G340" i="6" s="1"/>
  <c r="H340" i="6" s="1"/>
  <c r="I340" i="6" s="1"/>
  <c r="J340" i="6" s="1"/>
  <c r="K340" i="6" s="1"/>
  <c r="L340" i="6" s="1"/>
  <c r="M340" i="6" s="1"/>
  <c r="N340" i="6" s="1"/>
  <c r="O340" i="6" s="1"/>
  <c r="P340" i="6" s="1"/>
  <c r="Q340" i="6" s="1"/>
  <c r="R340" i="6" s="1"/>
  <c r="S340" i="6" s="1"/>
  <c r="T340" i="6" s="1"/>
  <c r="U340" i="6" s="1"/>
  <c r="V340" i="6" s="1"/>
  <c r="W340" i="6" s="1"/>
  <c r="X340" i="6" s="1"/>
  <c r="Y340" i="6" s="1"/>
  <c r="Z340" i="6" s="1"/>
  <c r="AA340" i="6" s="1"/>
  <c r="AB340" i="6" s="1"/>
  <c r="AC340" i="6" s="1"/>
  <c r="AD340" i="6" s="1"/>
  <c r="AE340" i="6" s="1"/>
  <c r="AF340" i="6" s="1"/>
  <c r="AG340" i="6" s="1"/>
  <c r="AH340" i="6" s="1"/>
  <c r="AI340" i="6" s="1"/>
  <c r="AJ340" i="6" s="1"/>
  <c r="AK340" i="6" s="1"/>
  <c r="AL340" i="6" s="1"/>
  <c r="AM340" i="6" s="1"/>
  <c r="AN340" i="6" s="1"/>
  <c r="AO340" i="6" s="1"/>
  <c r="AP340" i="6" s="1"/>
  <c r="AQ340" i="6" s="1"/>
  <c r="AR340" i="6" s="1"/>
  <c r="AS340" i="6" s="1"/>
  <c r="AT340" i="6" s="1"/>
  <c r="AU340" i="6" s="1"/>
  <c r="AV340" i="6" s="1"/>
  <c r="AW340" i="6" s="1"/>
  <c r="AX340" i="6" s="1"/>
  <c r="AY340" i="6" s="1"/>
  <c r="AZ340" i="6" s="1"/>
  <c r="BA340" i="6" s="1"/>
  <c r="BB340" i="6" s="1"/>
  <c r="BC340" i="6" s="1"/>
  <c r="BD340" i="6" s="1"/>
  <c r="BE340" i="6" s="1"/>
  <c r="BF340" i="6" s="1"/>
  <c r="BG340" i="6" s="1"/>
  <c r="BH340" i="6" s="1"/>
  <c r="BI340" i="6" s="1"/>
  <c r="BJ340" i="6" s="1"/>
  <c r="BK340" i="6" s="1"/>
  <c r="BL340" i="6" s="1"/>
  <c r="BM340" i="6" s="1"/>
  <c r="BN340" i="6" s="1"/>
  <c r="BO340" i="6" s="1"/>
  <c r="BP340" i="6" s="1"/>
  <c r="BQ340" i="6" s="1"/>
  <c r="BR340" i="6" s="1"/>
  <c r="BS340" i="6" s="1"/>
  <c r="BT340" i="6" s="1"/>
  <c r="BU340" i="6" s="1"/>
  <c r="BV340" i="6" s="1"/>
  <c r="BW340" i="6" s="1"/>
  <c r="BX340" i="6" s="1"/>
  <c r="BY340" i="6" s="1"/>
  <c r="BZ340" i="6" s="1"/>
  <c r="CA340" i="6" s="1"/>
  <c r="CB340" i="6" s="1"/>
  <c r="CC340" i="6" s="1"/>
  <c r="CD340" i="6" s="1"/>
  <c r="CE340" i="6" s="1"/>
  <c r="CF340" i="6" s="1"/>
  <c r="CG340" i="6" s="1"/>
  <c r="CH340" i="6" s="1"/>
  <c r="CI340" i="6" s="1"/>
  <c r="CJ340" i="6" s="1"/>
  <c r="CK340" i="6" s="1"/>
  <c r="CL340" i="6" s="1"/>
  <c r="CM340" i="6" s="1"/>
  <c r="CN340" i="6" s="1"/>
  <c r="CO340" i="6" s="1"/>
  <c r="CP340" i="6" s="1"/>
  <c r="CQ340" i="6" s="1"/>
  <c r="CR340" i="6" s="1"/>
  <c r="CS340" i="6" s="1"/>
  <c r="CT340" i="6" s="1"/>
  <c r="CU340" i="6" s="1"/>
  <c r="CV340" i="6" s="1"/>
  <c r="CW340" i="6" s="1"/>
  <c r="CX340" i="6" s="1"/>
  <c r="CY340" i="6" s="1"/>
  <c r="CZ340" i="6" s="1"/>
  <c r="DA340" i="6" s="1"/>
  <c r="DB340" i="6" s="1"/>
  <c r="DC340" i="6" s="1"/>
  <c r="DD340" i="6" s="1"/>
  <c r="DE340" i="6" s="1"/>
  <c r="DF340" i="6" s="1"/>
  <c r="DG340" i="6" s="1"/>
  <c r="DH340" i="6" s="1"/>
  <c r="DI340" i="6" s="1"/>
  <c r="DJ340" i="6" s="1"/>
  <c r="DK340" i="6" s="1"/>
  <c r="DL340" i="6" s="1"/>
  <c r="DM340" i="6" s="1"/>
  <c r="DN340" i="6" s="1"/>
  <c r="DO340" i="6" s="1"/>
  <c r="DP340" i="6" s="1"/>
  <c r="DQ340" i="6" s="1"/>
  <c r="DR340" i="6" s="1"/>
  <c r="DS340" i="6" s="1"/>
  <c r="DT340" i="6" s="1"/>
  <c r="DU340" i="6" s="1"/>
  <c r="DV340" i="6" s="1"/>
  <c r="DW340" i="6" s="1"/>
  <c r="DX340" i="6" s="1"/>
  <c r="DY340" i="6" s="1"/>
  <c r="DZ340" i="6" s="1"/>
  <c r="EA340" i="6" s="1"/>
  <c r="EB340" i="6" s="1"/>
  <c r="EC340" i="6" s="1"/>
  <c r="ED340" i="6" s="1"/>
  <c r="EE340" i="6" s="1"/>
  <c r="EF340" i="6" s="1"/>
  <c r="EG340" i="6" s="1"/>
  <c r="EH340" i="6" s="1"/>
  <c r="EI340" i="6" s="1"/>
  <c r="EJ340" i="6" s="1"/>
  <c r="EK340" i="6" s="1"/>
  <c r="EL340" i="6" s="1"/>
  <c r="EM340" i="6" s="1"/>
  <c r="EN340" i="6" s="1"/>
  <c r="EO340" i="6" s="1"/>
  <c r="EP340" i="6" s="1"/>
  <c r="EQ340" i="6" s="1"/>
  <c r="ER340" i="6" s="1"/>
  <c r="ES340" i="6" s="1"/>
  <c r="ET340" i="6" s="1"/>
  <c r="EU340" i="6" s="1"/>
  <c r="EV340" i="6" s="1"/>
  <c r="EW340" i="6" s="1"/>
  <c r="EX340" i="6" s="1"/>
  <c r="EY340" i="6" s="1"/>
  <c r="EZ340" i="6" s="1"/>
  <c r="FA340" i="6" s="1"/>
  <c r="FB340" i="6" s="1"/>
  <c r="FC340" i="6" s="1"/>
  <c r="FD340" i="6" s="1"/>
  <c r="FE340" i="6" s="1"/>
  <c r="FF340" i="6" s="1"/>
  <c r="FG340" i="6" s="1"/>
  <c r="FH340" i="6" s="1"/>
  <c r="FI340" i="6" s="1"/>
  <c r="FJ340" i="6" s="1"/>
  <c r="FK340" i="6" s="1"/>
  <c r="FL340" i="6" s="1"/>
  <c r="FM340" i="6" s="1"/>
  <c r="FN340" i="6" s="1"/>
  <c r="FO340" i="6" s="1"/>
  <c r="FP340" i="6" s="1"/>
  <c r="FQ340" i="6" s="1"/>
  <c r="FR340" i="6" s="1"/>
  <c r="FS340" i="6" s="1"/>
  <c r="FT340" i="6" s="1"/>
  <c r="FU340" i="6" s="1"/>
  <c r="FV340" i="6" s="1"/>
  <c r="FW340" i="6" s="1"/>
  <c r="FX340" i="6" s="1"/>
  <c r="FY340" i="6" s="1"/>
  <c r="FZ340" i="6" s="1"/>
  <c r="GA340" i="6" s="1"/>
  <c r="GB340" i="6" s="1"/>
  <c r="GC340" i="6" s="1"/>
  <c r="GD340" i="6" s="1"/>
  <c r="GE340" i="6" s="1"/>
  <c r="GF340" i="6" s="1"/>
  <c r="GG340" i="6" s="1"/>
  <c r="GH340" i="6" s="1"/>
  <c r="GI340" i="6" s="1"/>
  <c r="GJ340" i="6" s="1"/>
  <c r="GK340" i="6" s="1"/>
  <c r="GL340" i="6" s="1"/>
  <c r="GM340" i="6" s="1"/>
  <c r="GN340" i="6" s="1"/>
  <c r="GO340" i="6" s="1"/>
  <c r="GP340" i="6" s="1"/>
  <c r="GQ340" i="6" s="1"/>
  <c r="GR340" i="6" s="1"/>
  <c r="GS340" i="6" s="1"/>
  <c r="GT340" i="6" s="1"/>
  <c r="GU340" i="6" s="1"/>
  <c r="GV340" i="6" s="1"/>
  <c r="GW340" i="6" s="1"/>
  <c r="GX340" i="6" s="1"/>
  <c r="GY340" i="6" s="1"/>
  <c r="GZ340" i="6" s="1"/>
  <c r="HA340" i="6" s="1"/>
  <c r="HB340" i="6" s="1"/>
  <c r="HC340" i="6" s="1"/>
  <c r="HD340" i="6" s="1"/>
  <c r="HE340" i="6" s="1"/>
  <c r="HF340" i="6" s="1"/>
  <c r="HG340" i="6" s="1"/>
  <c r="HH340" i="6" s="1"/>
  <c r="HI340" i="6" s="1"/>
  <c r="HJ340" i="6" s="1"/>
  <c r="HK340" i="6" s="1"/>
  <c r="HL340" i="6" s="1"/>
  <c r="HM340" i="6" s="1"/>
  <c r="HN340" i="6" s="1"/>
  <c r="HO340" i="6" s="1"/>
  <c r="HP340" i="6" s="1"/>
  <c r="HQ340" i="6" s="1"/>
  <c r="HR340" i="6" s="1"/>
  <c r="HS340" i="6" s="1"/>
  <c r="HT340" i="6" s="1"/>
  <c r="HU340" i="6" s="1"/>
  <c r="HV340" i="6" s="1"/>
  <c r="HW340" i="6" s="1"/>
  <c r="HX340" i="6" s="1"/>
  <c r="HY340" i="6" s="1"/>
  <c r="HZ340" i="6" s="1"/>
  <c r="IA340" i="6" s="1"/>
  <c r="IB340" i="6" s="1"/>
  <c r="IC340" i="6" s="1"/>
  <c r="ID340" i="6" s="1"/>
  <c r="IE340" i="6" s="1"/>
  <c r="IF340" i="6" s="1"/>
  <c r="IG340" i="6" s="1"/>
  <c r="IH340" i="6" s="1"/>
  <c r="II340" i="6" s="1"/>
  <c r="IJ340" i="6" s="1"/>
  <c r="IK340" i="6" s="1"/>
  <c r="IL340" i="6" s="1"/>
  <c r="IM340" i="6" s="1"/>
  <c r="IN340" i="6" s="1"/>
  <c r="IO340" i="6" s="1"/>
  <c r="IP340" i="6" s="1"/>
  <c r="IQ340" i="6" s="1"/>
  <c r="IR340" i="6" s="1"/>
  <c r="IS340" i="6" s="1"/>
  <c r="IT340" i="6" s="1"/>
  <c r="IU340" i="6" s="1"/>
  <c r="IV340" i="6" s="1"/>
  <c r="IW340" i="6" s="1"/>
  <c r="IX340" i="6" s="1"/>
  <c r="IY340" i="6" s="1"/>
  <c r="IZ340" i="6" s="1"/>
  <c r="JA340" i="6" s="1"/>
  <c r="JB340" i="6" s="1"/>
  <c r="JC340" i="6" s="1"/>
  <c r="JD340" i="6" s="1"/>
  <c r="JE340" i="6" s="1"/>
  <c r="JF340" i="6" s="1"/>
  <c r="JG340" i="6" s="1"/>
  <c r="JH340" i="6" s="1"/>
  <c r="JI340" i="6" s="1"/>
  <c r="JJ340" i="6" s="1"/>
  <c r="JK340" i="6" s="1"/>
  <c r="JL340" i="6" s="1"/>
  <c r="JM340" i="6" s="1"/>
  <c r="JN340" i="6" s="1"/>
  <c r="JO340" i="6" s="1"/>
  <c r="JP340" i="6" s="1"/>
  <c r="JQ340" i="6" s="1"/>
  <c r="JR340" i="6" s="1"/>
  <c r="JS340" i="6" s="1"/>
  <c r="JT340" i="6" s="1"/>
  <c r="JU340" i="6" s="1"/>
  <c r="JV340" i="6" s="1"/>
  <c r="JW340" i="6" s="1"/>
  <c r="JX340" i="6" s="1"/>
  <c r="JY340" i="6" s="1"/>
  <c r="JZ340" i="6" s="1"/>
  <c r="KA340" i="6" s="1"/>
  <c r="KB340" i="6" s="1"/>
  <c r="KC340" i="6" s="1"/>
  <c r="KD340" i="6" s="1"/>
  <c r="KE340" i="6" s="1"/>
  <c r="KF340" i="6" s="1"/>
  <c r="KG340" i="6" s="1"/>
  <c r="KH340" i="6" s="1"/>
  <c r="KI340" i="6" s="1"/>
  <c r="KJ340" i="6" s="1"/>
  <c r="KK340" i="6" s="1"/>
  <c r="KL340" i="6" s="1"/>
  <c r="KM340" i="6" s="1"/>
  <c r="KN340" i="6" s="1"/>
  <c r="KO340" i="6" s="1"/>
  <c r="KP340" i="6" s="1"/>
  <c r="KQ340" i="6" s="1"/>
  <c r="KR340" i="6" s="1"/>
  <c r="KS340" i="6" s="1"/>
  <c r="KT340" i="6" s="1"/>
  <c r="KU340" i="6" s="1"/>
  <c r="KV340" i="6" s="1"/>
  <c r="KW340" i="6" s="1"/>
  <c r="KX340" i="6" s="1"/>
  <c r="KY340" i="6" s="1"/>
  <c r="KZ340" i="6" s="1"/>
  <c r="LA340" i="6" s="1"/>
  <c r="LB340" i="6" s="1"/>
  <c r="LC340" i="6" s="1"/>
  <c r="LD340" i="6" s="1"/>
  <c r="LE340" i="6" s="1"/>
  <c r="LF340" i="6" s="1"/>
  <c r="LG340" i="6" s="1"/>
  <c r="LH340" i="6" s="1"/>
  <c r="LI340" i="6" s="1"/>
  <c r="LJ340" i="6" s="1"/>
  <c r="LK340" i="6" s="1"/>
  <c r="LL340" i="6" s="1"/>
  <c r="LM340" i="6" s="1"/>
  <c r="LN340" i="6" s="1"/>
  <c r="LO340" i="6" s="1"/>
  <c r="LP340" i="6" s="1"/>
  <c r="LQ340" i="6" s="1"/>
  <c r="LR340" i="6" s="1"/>
  <c r="LS340" i="6" s="1"/>
  <c r="LT340" i="6" s="1"/>
  <c r="LU340" i="6" s="1"/>
  <c r="LV340" i="6" s="1"/>
  <c r="LW340" i="6" s="1"/>
  <c r="LX340" i="6" s="1"/>
  <c r="LY340" i="6" s="1"/>
  <c r="MN61" i="6"/>
  <c r="MI3" i="6"/>
  <c r="C17" i="6"/>
  <c r="C7" i="6"/>
  <c r="C12" i="6"/>
  <c r="C14" i="6"/>
  <c r="C6" i="6"/>
  <c r="C9" i="6"/>
  <c r="C16" i="6"/>
  <c r="C4" i="6"/>
  <c r="C10" i="6"/>
  <c r="C8" i="6"/>
  <c r="C11" i="6"/>
  <c r="C5" i="6"/>
  <c r="C13" i="6"/>
  <c r="C15" i="6"/>
  <c r="C341" i="6"/>
  <c r="C18" i="6"/>
  <c r="C3" i="6"/>
  <c r="B341" i="6"/>
  <c r="B17" i="6"/>
  <c r="B13" i="6"/>
  <c r="B3" i="6"/>
  <c r="B15" i="6"/>
  <c r="B5" i="6"/>
  <c r="B16" i="6"/>
  <c r="B7" i="6"/>
  <c r="B9" i="6"/>
  <c r="B8" i="6"/>
  <c r="B4" i="6"/>
  <c r="B10" i="6"/>
  <c r="B14" i="6"/>
  <c r="B11" i="6"/>
  <c r="B6" i="6"/>
  <c r="B2" i="6"/>
  <c r="B12" i="6"/>
  <c r="G8" i="6"/>
  <c r="G20" i="6"/>
  <c r="G12" i="6"/>
  <c r="G21" i="6"/>
  <c r="G15" i="6"/>
  <c r="G16" i="6"/>
  <c r="G9" i="6"/>
  <c r="G341" i="6"/>
  <c r="G11" i="6"/>
  <c r="G17" i="6"/>
  <c r="G19" i="6"/>
  <c r="G10" i="6"/>
  <c r="G14" i="6"/>
  <c r="G13" i="6"/>
  <c r="G18" i="6"/>
  <c r="K20" i="6"/>
  <c r="K21" i="6"/>
  <c r="K25" i="6"/>
  <c r="K14" i="6"/>
  <c r="K16" i="6"/>
  <c r="K18" i="6"/>
  <c r="K341" i="6"/>
  <c r="K19" i="6"/>
  <c r="K12" i="6"/>
  <c r="K24" i="6"/>
  <c r="K15" i="6"/>
  <c r="K13" i="6"/>
  <c r="K23" i="6"/>
  <c r="K17" i="6"/>
  <c r="K22" i="6"/>
  <c r="O21" i="6"/>
  <c r="O25" i="6"/>
  <c r="O16" i="6"/>
  <c r="O22" i="6"/>
  <c r="O19" i="6"/>
  <c r="O26" i="6"/>
  <c r="O23" i="6"/>
  <c r="O20" i="6"/>
  <c r="O29" i="6"/>
  <c r="O28" i="6"/>
  <c r="O17" i="6"/>
  <c r="O27" i="6"/>
  <c r="O24" i="6"/>
  <c r="O341" i="6"/>
  <c r="O18" i="6"/>
  <c r="S26" i="6"/>
  <c r="S25" i="6"/>
  <c r="S24" i="6"/>
  <c r="S30" i="6"/>
  <c r="S21" i="6"/>
  <c r="S31" i="6"/>
  <c r="S32" i="6"/>
  <c r="S29" i="6"/>
  <c r="S33" i="6"/>
  <c r="S28" i="6"/>
  <c r="S20" i="6"/>
  <c r="S23" i="6"/>
  <c r="S341" i="6"/>
  <c r="S22" i="6"/>
  <c r="S27" i="6"/>
  <c r="W341" i="6"/>
  <c r="W29" i="6"/>
  <c r="W30" i="6"/>
  <c r="W32" i="6"/>
  <c r="W33" i="6"/>
  <c r="W24" i="6"/>
  <c r="W27" i="6"/>
  <c r="W35" i="6"/>
  <c r="W26" i="6"/>
  <c r="W37" i="6"/>
  <c r="W31" i="6"/>
  <c r="W36" i="6"/>
  <c r="W28" i="6"/>
  <c r="W34" i="6"/>
  <c r="W25" i="6"/>
  <c r="AA36" i="6"/>
  <c r="AA39" i="6"/>
  <c r="AA31" i="6"/>
  <c r="AA35" i="6"/>
  <c r="AA30" i="6"/>
  <c r="AA34" i="6"/>
  <c r="AA341" i="6"/>
  <c r="AA28" i="6"/>
  <c r="AA32" i="6"/>
  <c r="AA41" i="6"/>
  <c r="AA33" i="6"/>
  <c r="AA40" i="6"/>
  <c r="AA38" i="6"/>
  <c r="AA29" i="6"/>
  <c r="AA37" i="6"/>
  <c r="AE39" i="6"/>
  <c r="AE341" i="6"/>
  <c r="AE43" i="6"/>
  <c r="AE45" i="6"/>
  <c r="AE44" i="6"/>
  <c r="AE40" i="6"/>
  <c r="AE38" i="6"/>
  <c r="AE34" i="6"/>
  <c r="AE37" i="6"/>
  <c r="AE35" i="6"/>
  <c r="AE33" i="6"/>
  <c r="AE36" i="6"/>
  <c r="AE41" i="6"/>
  <c r="AE32" i="6"/>
  <c r="AE42" i="6"/>
  <c r="AI38" i="6"/>
  <c r="AI41" i="6"/>
  <c r="AI42" i="6"/>
  <c r="AI40" i="6"/>
  <c r="AI45" i="6"/>
  <c r="AI36" i="6"/>
  <c r="AI47" i="6"/>
  <c r="AI46" i="6"/>
  <c r="AI37" i="6"/>
  <c r="AI48" i="6"/>
  <c r="AI44" i="6"/>
  <c r="AI341" i="6"/>
  <c r="AI49" i="6"/>
  <c r="AI39" i="6"/>
  <c r="AI43" i="6"/>
  <c r="AM51" i="6"/>
  <c r="AM53" i="6"/>
  <c r="AM52" i="6"/>
  <c r="AM43" i="6"/>
  <c r="AM50" i="6"/>
  <c r="AM48" i="6"/>
  <c r="AM47" i="6"/>
  <c r="AM45" i="6"/>
  <c r="AM42" i="6"/>
  <c r="AM49" i="6"/>
  <c r="AM46" i="6"/>
  <c r="AM44" i="6"/>
  <c r="AM41" i="6"/>
  <c r="AM40" i="6"/>
  <c r="AM341" i="6"/>
  <c r="AQ48" i="6"/>
  <c r="AQ57" i="6"/>
  <c r="AQ53" i="6"/>
  <c r="AQ49" i="6"/>
  <c r="AQ55" i="6"/>
  <c r="AQ54" i="6"/>
  <c r="AQ47" i="6"/>
  <c r="AQ341" i="6"/>
  <c r="AQ45" i="6"/>
  <c r="AQ44" i="6"/>
  <c r="AQ56" i="6"/>
  <c r="AQ50" i="6"/>
  <c r="AQ46" i="6"/>
  <c r="AQ52" i="6"/>
  <c r="AQ51" i="6"/>
  <c r="AU49" i="6"/>
  <c r="AU50" i="6"/>
  <c r="AU53" i="6"/>
  <c r="AU56" i="6"/>
  <c r="AU54" i="6"/>
  <c r="AU61" i="6"/>
  <c r="AU51" i="6"/>
  <c r="AU58" i="6"/>
  <c r="AU341" i="6"/>
  <c r="AU60" i="6"/>
  <c r="AU55" i="6"/>
  <c r="AU59" i="6"/>
  <c r="AU52" i="6"/>
  <c r="AU57" i="6"/>
  <c r="AU48" i="6"/>
  <c r="AY61" i="6"/>
  <c r="AY58" i="6"/>
  <c r="AY57" i="6"/>
  <c r="AY52" i="6"/>
  <c r="AY54" i="6"/>
  <c r="AY63" i="6"/>
  <c r="AY53" i="6"/>
  <c r="AY65" i="6"/>
  <c r="AY62" i="6"/>
  <c r="AY341" i="6"/>
  <c r="AY55" i="6"/>
  <c r="AY59" i="6"/>
  <c r="AY56" i="6"/>
  <c r="AY60" i="6"/>
  <c r="AY64" i="6"/>
  <c r="BC63" i="6"/>
  <c r="BC66" i="6"/>
  <c r="BC62" i="6"/>
  <c r="BC64" i="6"/>
  <c r="BC65" i="6"/>
  <c r="BC57" i="6"/>
  <c r="BC341" i="6"/>
  <c r="BC60" i="6"/>
  <c r="BC67" i="6"/>
  <c r="BC56" i="6"/>
  <c r="BC68" i="6"/>
  <c r="BC69" i="6"/>
  <c r="BC59" i="6"/>
  <c r="BC61" i="6"/>
  <c r="BC58" i="6"/>
  <c r="BG70" i="6"/>
  <c r="BG60" i="6"/>
  <c r="BG65" i="6"/>
  <c r="BG72" i="6"/>
  <c r="BG341" i="6"/>
  <c r="BG64" i="6"/>
  <c r="BG73" i="6"/>
  <c r="BG71" i="6"/>
  <c r="BG69" i="6"/>
  <c r="BG61" i="6"/>
  <c r="BG68" i="6"/>
  <c r="BG67" i="6"/>
  <c r="BG62" i="6"/>
  <c r="BG66" i="6"/>
  <c r="BG63" i="6"/>
  <c r="BK77" i="6"/>
  <c r="BK67" i="6"/>
  <c r="BK66" i="6"/>
  <c r="BK76" i="6"/>
  <c r="BK72" i="6"/>
  <c r="BK75" i="6"/>
  <c r="BK68" i="6"/>
  <c r="BK71" i="6"/>
  <c r="BK341" i="6"/>
  <c r="BK69" i="6"/>
  <c r="BK64" i="6"/>
  <c r="BK70" i="6"/>
  <c r="BK65" i="6"/>
  <c r="BK74" i="6"/>
  <c r="BK73" i="6"/>
  <c r="BO70" i="6"/>
  <c r="BO69" i="6"/>
  <c r="BO75" i="6"/>
  <c r="BO76" i="6"/>
  <c r="BO81" i="6"/>
  <c r="BO74" i="6"/>
  <c r="BO80" i="6"/>
  <c r="BO79" i="6"/>
  <c r="BO73" i="6"/>
  <c r="BO68" i="6"/>
  <c r="BO71" i="6"/>
  <c r="BO77" i="6"/>
  <c r="BO341" i="6"/>
  <c r="BO78" i="6"/>
  <c r="BO72" i="6"/>
  <c r="BS82" i="6"/>
  <c r="BS85" i="6"/>
  <c r="BS79" i="6"/>
  <c r="BS72" i="6"/>
  <c r="BS73" i="6"/>
  <c r="BS78" i="6"/>
  <c r="BS77" i="6"/>
  <c r="BS83" i="6"/>
  <c r="BS75" i="6"/>
  <c r="BS74" i="6"/>
  <c r="BS81" i="6"/>
  <c r="BS80" i="6"/>
  <c r="BS84" i="6"/>
  <c r="BS341" i="6"/>
  <c r="BS76" i="6"/>
  <c r="BW80" i="6"/>
  <c r="BW86" i="6"/>
  <c r="BW81" i="6"/>
  <c r="BW83" i="6"/>
  <c r="BW82" i="6"/>
  <c r="BW84" i="6"/>
  <c r="BW77" i="6"/>
  <c r="BW88" i="6"/>
  <c r="BW87" i="6"/>
  <c r="BW341" i="6"/>
  <c r="BW79" i="6"/>
  <c r="BW85" i="6"/>
  <c r="BW89" i="6"/>
  <c r="BW76" i="6"/>
  <c r="BW78" i="6"/>
  <c r="CA88" i="6"/>
  <c r="CA82" i="6"/>
  <c r="CA341" i="6"/>
  <c r="CA87" i="6"/>
  <c r="CA93" i="6"/>
  <c r="CA91" i="6"/>
  <c r="CA92" i="6"/>
  <c r="CA83" i="6"/>
  <c r="CA89" i="6"/>
  <c r="CA81" i="6"/>
  <c r="CA84" i="6"/>
  <c r="CA85" i="6"/>
  <c r="CA80" i="6"/>
  <c r="CA90" i="6"/>
  <c r="CA86" i="6"/>
  <c r="CE97" i="6"/>
  <c r="CE91" i="6"/>
  <c r="CE85" i="6"/>
  <c r="CE87" i="6"/>
  <c r="CE341" i="6"/>
  <c r="CE84" i="6"/>
  <c r="CE92" i="6"/>
  <c r="CE89" i="6"/>
  <c r="CE86" i="6"/>
  <c r="CE96" i="6"/>
  <c r="CE95" i="6"/>
  <c r="CE88" i="6"/>
  <c r="CE90" i="6"/>
  <c r="CE93" i="6"/>
  <c r="CE94" i="6"/>
  <c r="CI91" i="6"/>
  <c r="CI90" i="6"/>
  <c r="CI94" i="6"/>
  <c r="CI92" i="6"/>
  <c r="CI101" i="6"/>
  <c r="CI96" i="6"/>
  <c r="CI93" i="6"/>
  <c r="CI98" i="6"/>
  <c r="CI341" i="6"/>
  <c r="CI88" i="6"/>
  <c r="CI89" i="6"/>
  <c r="CI99" i="6"/>
  <c r="CI97" i="6"/>
  <c r="CI95" i="6"/>
  <c r="CI100" i="6"/>
  <c r="CM92" i="6"/>
  <c r="CM95" i="6"/>
  <c r="CM100" i="6"/>
  <c r="CM97" i="6"/>
  <c r="CM101" i="6"/>
  <c r="CM94" i="6"/>
  <c r="CM93" i="6"/>
  <c r="CM104" i="6"/>
  <c r="CM99" i="6"/>
  <c r="CM98" i="6"/>
  <c r="CM341" i="6"/>
  <c r="CM96" i="6"/>
  <c r="CM105" i="6"/>
  <c r="CM102" i="6"/>
  <c r="CM103" i="6"/>
  <c r="CQ106" i="6"/>
  <c r="CQ102" i="6"/>
  <c r="CQ108" i="6"/>
  <c r="CQ107" i="6"/>
  <c r="CQ104" i="6"/>
  <c r="CQ101" i="6"/>
  <c r="CQ109" i="6"/>
  <c r="CQ103" i="6"/>
  <c r="CQ341" i="6"/>
  <c r="CQ105" i="6"/>
  <c r="CQ98" i="6"/>
  <c r="CQ99" i="6"/>
  <c r="CQ96" i="6"/>
  <c r="CQ97" i="6"/>
  <c r="CQ100" i="6"/>
  <c r="CU108" i="6"/>
  <c r="CU109" i="6"/>
  <c r="CU341" i="6"/>
  <c r="CU106" i="6"/>
  <c r="CU111" i="6"/>
  <c r="CU103" i="6"/>
  <c r="CU112" i="6"/>
  <c r="CU107" i="6"/>
  <c r="CU113" i="6"/>
  <c r="CU100" i="6"/>
  <c r="CU104" i="6"/>
  <c r="CU110" i="6"/>
  <c r="CU105" i="6"/>
  <c r="CU102" i="6"/>
  <c r="CU101" i="6"/>
  <c r="CY108" i="6"/>
  <c r="CY113" i="6"/>
  <c r="CY117" i="6"/>
  <c r="CY341" i="6"/>
  <c r="CY111" i="6"/>
  <c r="CY105" i="6"/>
  <c r="CY110" i="6"/>
  <c r="CY107" i="6"/>
  <c r="CY104" i="6"/>
  <c r="CY109" i="6"/>
  <c r="CY115" i="6"/>
  <c r="CY106" i="6"/>
  <c r="CY114" i="6"/>
  <c r="CY112" i="6"/>
  <c r="CY116" i="6"/>
  <c r="DC119" i="6"/>
  <c r="DC117" i="6"/>
  <c r="DC115" i="6"/>
  <c r="DC109" i="6"/>
  <c r="DC113" i="6"/>
  <c r="DC111" i="6"/>
  <c r="DC121" i="6"/>
  <c r="DC118" i="6"/>
  <c r="DC120" i="6"/>
  <c r="DC108" i="6"/>
  <c r="DC114" i="6"/>
  <c r="DC116" i="6"/>
  <c r="DC110" i="6"/>
  <c r="DC341" i="6"/>
  <c r="DC112" i="6"/>
  <c r="DG122" i="6"/>
  <c r="DG118" i="6"/>
  <c r="DG114" i="6"/>
  <c r="DG121" i="6"/>
  <c r="DG115" i="6"/>
  <c r="DG125" i="6"/>
  <c r="DG124" i="6"/>
  <c r="DG116" i="6"/>
  <c r="DG112" i="6"/>
  <c r="DG113" i="6"/>
  <c r="DG119" i="6"/>
  <c r="DG123" i="6"/>
  <c r="DG341" i="6"/>
  <c r="DG117" i="6"/>
  <c r="DG120" i="6"/>
  <c r="DK121" i="6"/>
  <c r="DK129" i="6"/>
  <c r="DK127" i="6"/>
  <c r="DK117" i="6"/>
  <c r="DK128" i="6"/>
  <c r="DK120" i="6"/>
  <c r="DK119" i="6"/>
  <c r="DK116" i="6"/>
  <c r="DK341" i="6"/>
  <c r="DK125" i="6"/>
  <c r="DK118" i="6"/>
  <c r="DK126" i="6"/>
  <c r="DK122" i="6"/>
  <c r="DK123" i="6"/>
  <c r="DK124" i="6"/>
  <c r="DO125" i="6"/>
  <c r="DO127" i="6"/>
  <c r="DO341" i="6"/>
  <c r="DO122" i="6"/>
  <c r="DO128" i="6"/>
  <c r="DO123" i="6"/>
  <c r="DO133" i="6"/>
  <c r="DO120" i="6"/>
  <c r="DO121" i="6"/>
  <c r="DO130" i="6"/>
  <c r="DO126" i="6"/>
  <c r="DO132" i="6"/>
  <c r="DO124" i="6"/>
  <c r="DO129" i="6"/>
  <c r="DO131" i="6"/>
  <c r="DS126" i="6"/>
  <c r="DS137" i="6"/>
  <c r="DS125" i="6"/>
  <c r="DS132" i="6"/>
  <c r="DS133" i="6"/>
  <c r="DS130" i="6"/>
  <c r="DS131" i="6"/>
  <c r="DS124" i="6"/>
  <c r="DS127" i="6"/>
  <c r="DS129" i="6"/>
  <c r="DS128" i="6"/>
  <c r="DS136" i="6"/>
  <c r="DS134" i="6"/>
  <c r="DS341" i="6"/>
  <c r="DS135" i="6"/>
  <c r="DW138" i="6"/>
  <c r="DW131" i="6"/>
  <c r="DW130" i="6"/>
  <c r="DW341" i="6"/>
  <c r="DW141" i="6"/>
  <c r="DW134" i="6"/>
  <c r="DW137" i="6"/>
  <c r="DW129" i="6"/>
  <c r="DW136" i="6"/>
  <c r="DW135" i="6"/>
  <c r="DW139" i="6"/>
  <c r="DW132" i="6"/>
  <c r="DW133" i="6"/>
  <c r="DW140" i="6"/>
  <c r="DW128" i="6"/>
  <c r="EA145" i="6"/>
  <c r="EA134" i="6"/>
  <c r="EA141" i="6"/>
  <c r="EA138" i="6"/>
  <c r="EA142" i="6"/>
  <c r="EA133" i="6"/>
  <c r="EA136" i="6"/>
  <c r="EA144" i="6"/>
  <c r="EA137" i="6"/>
  <c r="EA341" i="6"/>
  <c r="EA140" i="6"/>
  <c r="EA139" i="6"/>
  <c r="EA132" i="6"/>
  <c r="EA143" i="6"/>
  <c r="EA135" i="6"/>
  <c r="EE142" i="6"/>
  <c r="EE139" i="6"/>
  <c r="EE341" i="6"/>
  <c r="EE140" i="6"/>
  <c r="EE141" i="6"/>
  <c r="EE138" i="6"/>
  <c r="EE149" i="6"/>
  <c r="EE136" i="6"/>
  <c r="EE137" i="6"/>
  <c r="EE147" i="6"/>
  <c r="EE148" i="6"/>
  <c r="EE143" i="6"/>
  <c r="EE145" i="6"/>
  <c r="EE144" i="6"/>
  <c r="EE146" i="6"/>
  <c r="EI144" i="6"/>
  <c r="EI153" i="6"/>
  <c r="EI146" i="6"/>
  <c r="EI147" i="6"/>
  <c r="EI151" i="6"/>
  <c r="EI149" i="6"/>
  <c r="EI152" i="6"/>
  <c r="EI148" i="6"/>
  <c r="EI145" i="6"/>
  <c r="EI140" i="6"/>
  <c r="EI341" i="6"/>
  <c r="EI142" i="6"/>
  <c r="EI141" i="6"/>
  <c r="EI143" i="6"/>
  <c r="EI150" i="6"/>
  <c r="EM151" i="6"/>
  <c r="EM152" i="6"/>
  <c r="EM153" i="6"/>
  <c r="EM155" i="6"/>
  <c r="EM149" i="6"/>
  <c r="EM148" i="6"/>
  <c r="EM150" i="6"/>
  <c r="EM144" i="6"/>
  <c r="EM157" i="6"/>
  <c r="EM156" i="6"/>
  <c r="EM145" i="6"/>
  <c r="EM146" i="6"/>
  <c r="EM147" i="6"/>
  <c r="EM341" i="6"/>
  <c r="EM154" i="6"/>
  <c r="EQ160" i="6"/>
  <c r="EQ149" i="6"/>
  <c r="EQ150" i="6"/>
  <c r="EQ155" i="6"/>
  <c r="EQ341" i="6"/>
  <c r="EQ158" i="6"/>
  <c r="EQ152" i="6"/>
  <c r="EQ157" i="6"/>
  <c r="EQ159" i="6"/>
  <c r="EQ161" i="6"/>
  <c r="EQ148" i="6"/>
  <c r="EQ154" i="6"/>
  <c r="EQ151" i="6"/>
  <c r="EQ156" i="6"/>
  <c r="EQ153" i="6"/>
  <c r="EU165" i="6"/>
  <c r="EU158" i="6"/>
  <c r="EU163" i="6"/>
  <c r="EU160" i="6"/>
  <c r="EU162" i="6"/>
  <c r="EU157" i="6"/>
  <c r="EU341" i="6"/>
  <c r="EU164" i="6"/>
  <c r="EU153" i="6"/>
  <c r="EU154" i="6"/>
  <c r="EU156" i="6"/>
  <c r="EU152" i="6"/>
  <c r="EU155" i="6"/>
  <c r="EU161" i="6"/>
  <c r="EU159" i="6"/>
  <c r="EY166" i="6"/>
  <c r="EY157" i="6"/>
  <c r="EY156" i="6"/>
  <c r="EY167" i="6"/>
  <c r="EY341" i="6"/>
  <c r="EY165" i="6"/>
  <c r="EY162" i="6"/>
  <c r="EY169" i="6"/>
  <c r="EY159" i="6"/>
  <c r="EY160" i="6"/>
  <c r="EY168" i="6"/>
  <c r="EY158" i="6"/>
  <c r="EY163" i="6"/>
  <c r="EY161" i="6"/>
  <c r="EY164" i="6"/>
  <c r="FC164" i="6"/>
  <c r="FC166" i="6"/>
  <c r="FC160" i="6"/>
  <c r="FC168" i="6"/>
  <c r="FC173" i="6"/>
  <c r="FC170" i="6"/>
  <c r="FC165" i="6"/>
  <c r="FC163" i="6"/>
  <c r="FC169" i="6"/>
  <c r="FC161" i="6"/>
  <c r="FC167" i="6"/>
  <c r="FC172" i="6"/>
  <c r="FC162" i="6"/>
  <c r="FC341" i="6"/>
  <c r="FC171" i="6"/>
  <c r="H15" i="6"/>
  <c r="H10" i="6"/>
  <c r="H20" i="6"/>
  <c r="H9" i="6"/>
  <c r="H13" i="6"/>
  <c r="H18" i="6"/>
  <c r="H16" i="6"/>
  <c r="H14" i="6"/>
  <c r="H12" i="6"/>
  <c r="H17" i="6"/>
  <c r="H19" i="6"/>
  <c r="H21" i="6"/>
  <c r="H341" i="6"/>
  <c r="H11" i="6"/>
  <c r="H22" i="6"/>
  <c r="L23" i="6"/>
  <c r="L21" i="6"/>
  <c r="L22" i="6"/>
  <c r="L17" i="6"/>
  <c r="L25" i="6"/>
  <c r="L15" i="6"/>
  <c r="L14" i="6"/>
  <c r="L24" i="6"/>
  <c r="L20" i="6"/>
  <c r="L26" i="6"/>
  <c r="L19" i="6"/>
  <c r="L18" i="6"/>
  <c r="L13" i="6"/>
  <c r="L341" i="6"/>
  <c r="L16" i="6"/>
  <c r="P26" i="6"/>
  <c r="P17" i="6"/>
  <c r="P24" i="6"/>
  <c r="P21" i="6"/>
  <c r="P22" i="6"/>
  <c r="P29" i="6"/>
  <c r="P19" i="6"/>
  <c r="P27" i="6"/>
  <c r="P30" i="6"/>
  <c r="P341" i="6"/>
  <c r="P28" i="6"/>
  <c r="P18" i="6"/>
  <c r="P25" i="6"/>
  <c r="P20" i="6"/>
  <c r="P23" i="6"/>
  <c r="T23" i="6"/>
  <c r="T31" i="6"/>
  <c r="T21" i="6"/>
  <c r="T29" i="6"/>
  <c r="T28" i="6"/>
  <c r="T33" i="6"/>
  <c r="T341" i="6"/>
  <c r="T26" i="6"/>
  <c r="T22" i="6"/>
  <c r="T34" i="6"/>
  <c r="T25" i="6"/>
  <c r="T24" i="6"/>
  <c r="T32" i="6"/>
  <c r="T27" i="6"/>
  <c r="T30" i="6"/>
  <c r="X38" i="6"/>
  <c r="X36" i="6"/>
  <c r="X33" i="6"/>
  <c r="X30" i="6"/>
  <c r="X32" i="6"/>
  <c r="X26" i="6"/>
  <c r="X341" i="6"/>
  <c r="X25" i="6"/>
  <c r="X28" i="6"/>
  <c r="X27" i="6"/>
  <c r="X31" i="6"/>
  <c r="X34" i="6"/>
  <c r="X35" i="6"/>
  <c r="X37" i="6"/>
  <c r="X29" i="6"/>
  <c r="AB38" i="6"/>
  <c r="AB37" i="6"/>
  <c r="AB42" i="6"/>
  <c r="AB35" i="6"/>
  <c r="AB341" i="6"/>
  <c r="AB33" i="6"/>
  <c r="AB36" i="6"/>
  <c r="AB40" i="6"/>
  <c r="AB41" i="6"/>
  <c r="AB32" i="6"/>
  <c r="AB31" i="6"/>
  <c r="AB30" i="6"/>
  <c r="AB34" i="6"/>
  <c r="AB29" i="6"/>
  <c r="AB39" i="6"/>
  <c r="AF43" i="6"/>
  <c r="AF341" i="6"/>
  <c r="AF41" i="6"/>
  <c r="AF40" i="6"/>
  <c r="AF39" i="6"/>
  <c r="AF42" i="6"/>
  <c r="AF45" i="6"/>
  <c r="AF37" i="6"/>
  <c r="AF33" i="6"/>
  <c r="AF36" i="6"/>
  <c r="AF35" i="6"/>
  <c r="AF46" i="6"/>
  <c r="AF34" i="6"/>
  <c r="AF44" i="6"/>
  <c r="AF38" i="6"/>
  <c r="AJ47" i="6"/>
  <c r="AJ39" i="6"/>
  <c r="AJ37" i="6"/>
  <c r="AJ46" i="6"/>
  <c r="AJ45" i="6"/>
  <c r="AJ40" i="6"/>
  <c r="AJ48" i="6"/>
  <c r="AJ42" i="6"/>
  <c r="AJ44" i="6"/>
  <c r="AJ49" i="6"/>
  <c r="AJ43" i="6"/>
  <c r="AJ50" i="6"/>
  <c r="AJ41" i="6"/>
  <c r="AJ341" i="6"/>
  <c r="AJ38" i="6"/>
  <c r="AN49" i="6"/>
  <c r="AN42" i="6"/>
  <c r="AN52" i="6"/>
  <c r="AN45" i="6"/>
  <c r="AN53" i="6"/>
  <c r="AN41" i="6"/>
  <c r="AN44" i="6"/>
  <c r="AN54" i="6"/>
  <c r="AN51" i="6"/>
  <c r="AN341" i="6"/>
  <c r="AN43" i="6"/>
  <c r="AN50" i="6"/>
  <c r="AN48" i="6"/>
  <c r="AN46" i="6"/>
  <c r="AN47" i="6"/>
  <c r="AR50" i="6"/>
  <c r="AR49" i="6"/>
  <c r="AR58" i="6"/>
  <c r="AR51" i="6"/>
  <c r="AR341" i="6"/>
  <c r="AR57" i="6"/>
  <c r="AR45" i="6"/>
  <c r="AR55" i="6"/>
  <c r="AR52" i="6"/>
  <c r="AR54" i="6"/>
  <c r="AR56" i="6"/>
  <c r="AR48" i="6"/>
  <c r="AR47" i="6"/>
  <c r="AR53" i="6"/>
  <c r="AR46" i="6"/>
  <c r="AV61" i="6"/>
  <c r="AV341" i="6"/>
  <c r="AV53" i="6"/>
  <c r="AV60" i="6"/>
  <c r="AV59" i="6"/>
  <c r="AV57" i="6"/>
  <c r="AV52" i="6"/>
  <c r="AV62" i="6"/>
  <c r="AV50" i="6"/>
  <c r="AV56" i="6"/>
  <c r="AV49" i="6"/>
  <c r="AV51" i="6"/>
  <c r="AV55" i="6"/>
  <c r="AV54" i="6"/>
  <c r="AV58" i="6"/>
  <c r="AZ63" i="6"/>
  <c r="AZ57" i="6"/>
  <c r="AZ62" i="6"/>
  <c r="AZ64" i="6"/>
  <c r="AZ61" i="6"/>
  <c r="AZ56" i="6"/>
  <c r="AZ58" i="6"/>
  <c r="AZ341" i="6"/>
  <c r="AZ66" i="6"/>
  <c r="AZ54" i="6"/>
  <c r="AZ60" i="6"/>
  <c r="AZ55" i="6"/>
  <c r="AZ53" i="6"/>
  <c r="AZ59" i="6"/>
  <c r="AZ65" i="6"/>
  <c r="BD68" i="6"/>
  <c r="BD63" i="6"/>
  <c r="BD341" i="6"/>
  <c r="BD65" i="6"/>
  <c r="BD67" i="6"/>
  <c r="BD62" i="6"/>
  <c r="BD66" i="6"/>
  <c r="BD69" i="6"/>
  <c r="BD60" i="6"/>
  <c r="BD59" i="6"/>
  <c r="BD57" i="6"/>
  <c r="BD58" i="6"/>
  <c r="BD61" i="6"/>
  <c r="BD70" i="6"/>
  <c r="BD64" i="6"/>
  <c r="BH72" i="6"/>
  <c r="BH70" i="6"/>
  <c r="BH341" i="6"/>
  <c r="BH74" i="6"/>
  <c r="BH62" i="6"/>
  <c r="BH67" i="6"/>
  <c r="BH71" i="6"/>
  <c r="BH69" i="6"/>
  <c r="BH64" i="6"/>
  <c r="BH65" i="6"/>
  <c r="BH73" i="6"/>
  <c r="BH68" i="6"/>
  <c r="BH66" i="6"/>
  <c r="BH61" i="6"/>
  <c r="BH63" i="6"/>
  <c r="BL77" i="6"/>
  <c r="BL69" i="6"/>
  <c r="BL68" i="6"/>
  <c r="BL74" i="6"/>
  <c r="BL78" i="6"/>
  <c r="BL76" i="6"/>
  <c r="BL341" i="6"/>
  <c r="BL70" i="6"/>
  <c r="BL72" i="6"/>
  <c r="BL66" i="6"/>
  <c r="BL73" i="6"/>
  <c r="BL75" i="6"/>
  <c r="BL65" i="6"/>
  <c r="BL67" i="6"/>
  <c r="BL71" i="6"/>
  <c r="BP73" i="6"/>
  <c r="BP74" i="6"/>
  <c r="BP71" i="6"/>
  <c r="BP70" i="6"/>
  <c r="BP82" i="6"/>
  <c r="BP72" i="6"/>
  <c r="BP76" i="6"/>
  <c r="BP81" i="6"/>
  <c r="BP79" i="6"/>
  <c r="BP77" i="6"/>
  <c r="BP69" i="6"/>
  <c r="BP78" i="6"/>
  <c r="BP75" i="6"/>
  <c r="BP80" i="6"/>
  <c r="BP341" i="6"/>
  <c r="BT86" i="6"/>
  <c r="BT77" i="6"/>
  <c r="BT80" i="6"/>
  <c r="BT73" i="6"/>
  <c r="BT83" i="6"/>
  <c r="BT79" i="6"/>
  <c r="BT78" i="6"/>
  <c r="BT81" i="6"/>
  <c r="BT76" i="6"/>
  <c r="BT74" i="6"/>
  <c r="BT85" i="6"/>
  <c r="BT75" i="6"/>
  <c r="BT341" i="6"/>
  <c r="BT82" i="6"/>
  <c r="BT84" i="6"/>
  <c r="BX81" i="6"/>
  <c r="BX79" i="6"/>
  <c r="BX341" i="6"/>
  <c r="BX87" i="6"/>
  <c r="BX80" i="6"/>
  <c r="BX78" i="6"/>
  <c r="BX86" i="6"/>
  <c r="BX85" i="6"/>
  <c r="BX88" i="6"/>
  <c r="BX84" i="6"/>
  <c r="BX89" i="6"/>
  <c r="BX83" i="6"/>
  <c r="BX90" i="6"/>
  <c r="BX82" i="6"/>
  <c r="BX77" i="6"/>
  <c r="CB89" i="6"/>
  <c r="CB341" i="6"/>
  <c r="CB87" i="6"/>
  <c r="CB90" i="6"/>
  <c r="CB83" i="6"/>
  <c r="CB81" i="6"/>
  <c r="CB85" i="6"/>
  <c r="CB94" i="6"/>
  <c r="CB86" i="6"/>
  <c r="CB82" i="6"/>
  <c r="CB91" i="6"/>
  <c r="CB84" i="6"/>
  <c r="CB88" i="6"/>
  <c r="CB93" i="6"/>
  <c r="CB92" i="6"/>
  <c r="D341" i="6"/>
  <c r="CF90" i="6"/>
  <c r="CF97" i="6"/>
  <c r="CF89" i="6"/>
  <c r="CF93" i="6"/>
  <c r="CF96" i="6"/>
  <c r="CF85" i="6"/>
  <c r="CF95" i="6"/>
  <c r="CF88" i="6"/>
  <c r="CF86" i="6"/>
  <c r="CF92" i="6"/>
  <c r="CF87" i="6"/>
  <c r="CF98" i="6"/>
  <c r="CF91" i="6"/>
  <c r="CF94" i="6"/>
  <c r="CF341" i="6"/>
  <c r="CJ97" i="6"/>
  <c r="CJ95" i="6"/>
  <c r="CJ96" i="6"/>
  <c r="CJ94" i="6"/>
  <c r="CJ92" i="6"/>
  <c r="CJ99" i="6"/>
  <c r="CJ91" i="6"/>
  <c r="CJ93" i="6"/>
  <c r="CJ100" i="6"/>
  <c r="CJ341" i="6"/>
  <c r="CJ102" i="6"/>
  <c r="CJ98" i="6"/>
  <c r="CJ101" i="6"/>
  <c r="CJ89" i="6"/>
  <c r="CJ90" i="6"/>
  <c r="CN106" i="6"/>
  <c r="CN98" i="6"/>
  <c r="CN102" i="6"/>
  <c r="CN99" i="6"/>
  <c r="CN97" i="6"/>
  <c r="CN104" i="6"/>
  <c r="CN95" i="6"/>
  <c r="CN101" i="6"/>
  <c r="CN103" i="6"/>
  <c r="CN93" i="6"/>
  <c r="CN341" i="6"/>
  <c r="CN105" i="6"/>
  <c r="CN94" i="6"/>
  <c r="CN100" i="6"/>
  <c r="CN96" i="6"/>
  <c r="CR97" i="6"/>
  <c r="CR106" i="6"/>
  <c r="CR105" i="6"/>
  <c r="CR107" i="6"/>
  <c r="CR100" i="6"/>
  <c r="CR110" i="6"/>
  <c r="CR109" i="6"/>
  <c r="CR103" i="6"/>
  <c r="CR102" i="6"/>
  <c r="CR341" i="6"/>
  <c r="CR99" i="6"/>
  <c r="CR98" i="6"/>
  <c r="CR104" i="6"/>
  <c r="CR101" i="6"/>
  <c r="CR108" i="6"/>
  <c r="CV341" i="6"/>
  <c r="CV105" i="6"/>
  <c r="CV104" i="6"/>
  <c r="CV110" i="6"/>
  <c r="CV114" i="6"/>
  <c r="CV112" i="6"/>
  <c r="CV101" i="6"/>
  <c r="CV111" i="6"/>
  <c r="CV113" i="6"/>
  <c r="CV102" i="6"/>
  <c r="CV103" i="6"/>
  <c r="CV107" i="6"/>
  <c r="CV109" i="6"/>
  <c r="CV106" i="6"/>
  <c r="CV108" i="6"/>
  <c r="CZ106" i="6"/>
  <c r="CZ105" i="6"/>
  <c r="CZ118" i="6"/>
  <c r="CZ115" i="6"/>
  <c r="CZ112" i="6"/>
  <c r="CZ114" i="6"/>
  <c r="CZ111" i="6"/>
  <c r="CZ341" i="6"/>
  <c r="CZ108" i="6"/>
  <c r="CZ107" i="6"/>
  <c r="CZ117" i="6"/>
  <c r="CZ116" i="6"/>
  <c r="CZ109" i="6"/>
  <c r="CZ113" i="6"/>
  <c r="CZ110" i="6"/>
  <c r="DD111" i="6"/>
  <c r="DD119" i="6"/>
  <c r="DD115" i="6"/>
  <c r="DD116" i="6"/>
  <c r="DD112" i="6"/>
  <c r="DD121" i="6"/>
  <c r="DD117" i="6"/>
  <c r="DD114" i="6"/>
  <c r="DD110" i="6"/>
  <c r="DD109" i="6"/>
  <c r="DD122" i="6"/>
  <c r="DD118" i="6"/>
  <c r="DD120" i="6"/>
  <c r="DD113" i="6"/>
  <c r="DD341" i="6"/>
  <c r="DH125" i="6"/>
  <c r="DH121" i="6"/>
  <c r="DH124" i="6"/>
  <c r="DH114" i="6"/>
  <c r="DH120" i="6"/>
  <c r="DH122" i="6"/>
  <c r="DH126" i="6"/>
  <c r="DH113" i="6"/>
  <c r="DH118" i="6"/>
  <c r="DH116" i="6"/>
  <c r="DH117" i="6"/>
  <c r="DH341" i="6"/>
  <c r="DH119" i="6"/>
  <c r="DH115" i="6"/>
  <c r="DH123" i="6"/>
  <c r="DL121" i="6"/>
  <c r="DL127" i="6"/>
  <c r="DL129" i="6"/>
  <c r="DL117" i="6"/>
  <c r="DL122" i="6"/>
  <c r="DL118" i="6"/>
  <c r="DL125" i="6"/>
  <c r="DL124" i="6"/>
  <c r="DL123" i="6"/>
  <c r="DL119" i="6"/>
  <c r="DL120" i="6"/>
  <c r="DL130" i="6"/>
  <c r="DL128" i="6"/>
  <c r="DL341" i="6"/>
  <c r="DL126" i="6"/>
  <c r="DP123" i="6"/>
  <c r="DP132" i="6"/>
  <c r="DP121" i="6"/>
  <c r="DP124" i="6"/>
  <c r="DP131" i="6"/>
  <c r="DP126" i="6"/>
  <c r="DP133" i="6"/>
  <c r="DP129" i="6"/>
  <c r="DP341" i="6"/>
  <c r="DP127" i="6"/>
  <c r="DP128" i="6"/>
  <c r="DP130" i="6"/>
  <c r="DP134" i="6"/>
  <c r="DP122" i="6"/>
  <c r="DP125" i="6"/>
  <c r="DT135" i="6"/>
  <c r="DT136" i="6"/>
  <c r="DT128" i="6"/>
  <c r="DT130" i="6"/>
  <c r="DT137" i="6"/>
  <c r="DT131" i="6"/>
  <c r="DT133" i="6"/>
  <c r="DT134" i="6"/>
  <c r="DT129" i="6"/>
  <c r="DT138" i="6"/>
  <c r="DT132" i="6"/>
  <c r="DT126" i="6"/>
  <c r="DT127" i="6"/>
  <c r="DT341" i="6"/>
  <c r="DT125" i="6"/>
  <c r="DX140" i="6"/>
  <c r="DX135" i="6"/>
  <c r="DX130" i="6"/>
  <c r="DX137" i="6"/>
  <c r="DX138" i="6"/>
  <c r="DX136" i="6"/>
  <c r="DX142" i="6"/>
  <c r="DX134" i="6"/>
  <c r="DX141" i="6"/>
  <c r="DX131" i="6"/>
  <c r="DX133" i="6"/>
  <c r="DX139" i="6"/>
  <c r="DX341" i="6"/>
  <c r="DX129" i="6"/>
  <c r="DX132" i="6"/>
  <c r="EB139" i="6"/>
  <c r="EB143" i="6"/>
  <c r="EB138" i="6"/>
  <c r="EB142" i="6"/>
  <c r="EB144" i="6"/>
  <c r="EB341" i="6"/>
  <c r="EB134" i="6"/>
  <c r="EB135" i="6"/>
  <c r="EB136" i="6"/>
  <c r="EB133" i="6"/>
  <c r="EB137" i="6"/>
  <c r="EB146" i="6"/>
  <c r="EB141" i="6"/>
  <c r="EB140" i="6"/>
  <c r="EB145" i="6"/>
  <c r="E13" i="6"/>
  <c r="E10" i="6"/>
  <c r="E19" i="6"/>
  <c r="E12" i="6"/>
  <c r="E7" i="6"/>
  <c r="E8" i="6"/>
  <c r="E341" i="6"/>
  <c r="E15" i="6"/>
  <c r="E18" i="6"/>
  <c r="E16" i="6"/>
  <c r="E6" i="6"/>
  <c r="E17" i="6"/>
  <c r="E9" i="6"/>
  <c r="E11" i="6"/>
  <c r="E14" i="6"/>
  <c r="I11" i="6"/>
  <c r="I17" i="6"/>
  <c r="I12" i="6"/>
  <c r="I19" i="6"/>
  <c r="I21" i="6"/>
  <c r="I341" i="6"/>
  <c r="I22" i="6"/>
  <c r="I13" i="6"/>
  <c r="I23" i="6"/>
  <c r="I16" i="6"/>
  <c r="I18" i="6"/>
  <c r="I14" i="6"/>
  <c r="I20" i="6"/>
  <c r="I15" i="6"/>
  <c r="I10" i="6"/>
  <c r="M17" i="6"/>
  <c r="M26" i="6"/>
  <c r="M16" i="6"/>
  <c r="M15" i="6"/>
  <c r="M19" i="6"/>
  <c r="M22" i="6"/>
  <c r="M23" i="6"/>
  <c r="M27" i="6"/>
  <c r="M20" i="6"/>
  <c r="M18" i="6"/>
  <c r="M24" i="6"/>
  <c r="M14" i="6"/>
  <c r="M21" i="6"/>
  <c r="M25" i="6"/>
  <c r="M341" i="6"/>
  <c r="Q22" i="6"/>
  <c r="Q23" i="6"/>
  <c r="Q19" i="6"/>
  <c r="Q28" i="6"/>
  <c r="Q18" i="6"/>
  <c r="Q24" i="6"/>
  <c r="Q341" i="6"/>
  <c r="Q25" i="6"/>
  <c r="Q31" i="6"/>
  <c r="Q27" i="6"/>
  <c r="Q20" i="6"/>
  <c r="Q29" i="6"/>
  <c r="Q26" i="6"/>
  <c r="Q30" i="6"/>
  <c r="Q21" i="6"/>
  <c r="U25" i="6"/>
  <c r="U31" i="6"/>
  <c r="U29" i="6"/>
  <c r="U32" i="6"/>
  <c r="U27" i="6"/>
  <c r="U34" i="6"/>
  <c r="U341" i="6"/>
  <c r="U28" i="6"/>
  <c r="U24" i="6"/>
  <c r="U35" i="6"/>
  <c r="U26" i="6"/>
  <c r="U33" i="6"/>
  <c r="U22" i="6"/>
  <c r="U23" i="6"/>
  <c r="U30" i="6"/>
  <c r="Y34" i="6"/>
  <c r="Y32" i="6"/>
  <c r="Y341" i="6"/>
  <c r="Y33" i="6"/>
  <c r="Y39" i="6"/>
  <c r="Y38" i="6"/>
  <c r="Y28" i="6"/>
  <c r="Y29" i="6"/>
  <c r="Y27" i="6"/>
  <c r="Y31" i="6"/>
  <c r="Y37" i="6"/>
  <c r="Y26" i="6"/>
  <c r="Y35" i="6"/>
  <c r="Y36" i="6"/>
  <c r="Y30" i="6"/>
  <c r="AC30" i="6"/>
  <c r="AC39" i="6"/>
  <c r="AC33" i="6"/>
  <c r="AC41" i="6"/>
  <c r="AC40" i="6"/>
  <c r="AC43" i="6"/>
  <c r="AC38" i="6"/>
  <c r="AC35" i="6"/>
  <c r="AC36" i="6"/>
  <c r="AC34" i="6"/>
  <c r="AC32" i="6"/>
  <c r="AC37" i="6"/>
  <c r="AC341" i="6"/>
  <c r="AC42" i="6"/>
  <c r="AC31" i="6"/>
  <c r="AG35" i="6"/>
  <c r="AG40" i="6"/>
  <c r="AG341" i="6"/>
  <c r="AG34" i="6"/>
  <c r="AG47" i="6"/>
  <c r="AG42" i="6"/>
  <c r="AG41" i="6"/>
  <c r="AG43" i="6"/>
  <c r="AG37" i="6"/>
  <c r="AG46" i="6"/>
  <c r="AG36" i="6"/>
  <c r="AG44" i="6"/>
  <c r="AG38" i="6"/>
  <c r="AG45" i="6"/>
  <c r="AG39" i="6"/>
  <c r="AK51" i="6"/>
  <c r="AK47" i="6"/>
  <c r="AK44" i="6"/>
  <c r="AK43" i="6"/>
  <c r="AK38" i="6"/>
  <c r="AK39" i="6"/>
  <c r="AK42" i="6"/>
  <c r="AK50" i="6"/>
  <c r="AK46" i="6"/>
  <c r="AK40" i="6"/>
  <c r="AK49" i="6"/>
  <c r="AK48" i="6"/>
  <c r="AK41" i="6"/>
  <c r="AK45" i="6"/>
  <c r="AK341" i="6"/>
  <c r="AO44" i="6"/>
  <c r="AO51" i="6"/>
  <c r="AO42" i="6"/>
  <c r="AO49" i="6"/>
  <c r="AO54" i="6"/>
  <c r="AO55" i="6"/>
  <c r="AO53" i="6"/>
  <c r="AO47" i="6"/>
  <c r="AO341" i="6"/>
  <c r="AO50" i="6"/>
  <c r="AO43" i="6"/>
  <c r="AO52" i="6"/>
  <c r="AO45" i="6"/>
  <c r="AO46" i="6"/>
  <c r="AO48" i="6"/>
  <c r="AS51" i="6"/>
  <c r="AS47" i="6"/>
  <c r="AS49" i="6"/>
  <c r="AS57" i="6"/>
  <c r="AS56" i="6"/>
  <c r="AS59" i="6"/>
  <c r="AS58" i="6"/>
  <c r="AS48" i="6"/>
  <c r="AS54" i="6"/>
  <c r="AS53" i="6"/>
  <c r="AS46" i="6"/>
  <c r="AS52" i="6"/>
  <c r="AS341" i="6"/>
  <c r="AS50" i="6"/>
  <c r="AS55" i="6"/>
  <c r="AW53" i="6"/>
  <c r="AW54" i="6"/>
  <c r="AW57" i="6"/>
  <c r="AW61" i="6"/>
  <c r="AW50" i="6"/>
  <c r="AW59" i="6"/>
  <c r="AW51" i="6"/>
  <c r="AW63" i="6"/>
  <c r="AW60" i="6"/>
  <c r="AW55" i="6"/>
  <c r="AW56" i="6"/>
  <c r="AW52" i="6"/>
  <c r="AW341" i="6"/>
  <c r="AW58" i="6"/>
  <c r="AW62" i="6"/>
  <c r="BA63" i="6"/>
  <c r="BA67" i="6"/>
  <c r="BA60" i="6"/>
  <c r="BA66" i="6"/>
  <c r="BA59" i="6"/>
  <c r="BA54" i="6"/>
  <c r="BA65" i="6"/>
  <c r="BA61" i="6"/>
  <c r="BA64" i="6"/>
  <c r="BA62" i="6"/>
  <c r="BA55" i="6"/>
  <c r="BA56" i="6"/>
  <c r="BA58" i="6"/>
  <c r="BA341" i="6"/>
  <c r="BA57" i="6"/>
  <c r="BE59" i="6"/>
  <c r="BE60" i="6"/>
  <c r="BE66" i="6"/>
  <c r="BE65" i="6"/>
  <c r="BE64" i="6"/>
  <c r="BE61" i="6"/>
  <c r="BE67" i="6"/>
  <c r="BE70" i="6"/>
  <c r="BE68" i="6"/>
  <c r="BE69" i="6"/>
  <c r="BE341" i="6"/>
  <c r="BE62" i="6"/>
  <c r="BE58" i="6"/>
  <c r="BE63" i="6"/>
  <c r="BE71" i="6"/>
  <c r="BI63" i="6"/>
  <c r="BI69" i="6"/>
  <c r="BI68" i="6"/>
  <c r="BI72" i="6"/>
  <c r="BI74" i="6"/>
  <c r="BI75" i="6"/>
  <c r="BI66" i="6"/>
  <c r="BI70" i="6"/>
  <c r="BI65" i="6"/>
  <c r="BI64" i="6"/>
  <c r="BI73" i="6"/>
  <c r="BI67" i="6"/>
  <c r="BI341" i="6"/>
  <c r="BI62" i="6"/>
  <c r="BI71" i="6"/>
  <c r="BM68" i="6"/>
  <c r="BM76" i="6"/>
  <c r="BM79" i="6"/>
  <c r="BM69" i="6"/>
  <c r="BM66" i="6"/>
  <c r="BM72" i="6"/>
  <c r="BM341" i="6"/>
  <c r="BM71" i="6"/>
  <c r="BM73" i="6"/>
  <c r="BM75" i="6"/>
  <c r="BM70" i="6"/>
  <c r="BM67" i="6"/>
  <c r="BM78" i="6"/>
  <c r="BM74" i="6"/>
  <c r="BM77" i="6"/>
  <c r="BQ74" i="6"/>
  <c r="BQ76" i="6"/>
  <c r="BQ77" i="6"/>
  <c r="BQ341" i="6"/>
  <c r="BQ75" i="6"/>
  <c r="BQ83" i="6"/>
  <c r="BQ78" i="6"/>
  <c r="BQ73" i="6"/>
  <c r="BQ72" i="6"/>
  <c r="BQ82" i="6"/>
  <c r="BQ70" i="6"/>
  <c r="BQ79" i="6"/>
  <c r="BQ81" i="6"/>
  <c r="BQ80" i="6"/>
  <c r="BQ71" i="6"/>
  <c r="BU78" i="6"/>
  <c r="BU85" i="6"/>
  <c r="BU86" i="6"/>
  <c r="BU81" i="6"/>
  <c r="BU82" i="6"/>
  <c r="BU74" i="6"/>
  <c r="BU87" i="6"/>
  <c r="BU76" i="6"/>
  <c r="BU83" i="6"/>
  <c r="BU79" i="6"/>
  <c r="BU84" i="6"/>
  <c r="BU341" i="6"/>
  <c r="BU75" i="6"/>
  <c r="BU80" i="6"/>
  <c r="BU77" i="6"/>
  <c r="BY91" i="6"/>
  <c r="BY86" i="6"/>
  <c r="BY341" i="6"/>
  <c r="BY81" i="6"/>
  <c r="BY84" i="6"/>
  <c r="BY90" i="6"/>
  <c r="BY89" i="6"/>
  <c r="BY79" i="6"/>
  <c r="BY88" i="6"/>
  <c r="BY82" i="6"/>
  <c r="BY83" i="6"/>
  <c r="BY85" i="6"/>
  <c r="BY87" i="6"/>
  <c r="BY80" i="6"/>
  <c r="BY78" i="6"/>
  <c r="CC83" i="6"/>
  <c r="CC93" i="6"/>
  <c r="CC88" i="6"/>
  <c r="CC85" i="6"/>
  <c r="CC94" i="6"/>
  <c r="CC87" i="6"/>
  <c r="CC89" i="6"/>
  <c r="CC84" i="6"/>
  <c r="CC91" i="6"/>
  <c r="CC86" i="6"/>
  <c r="CC92" i="6"/>
  <c r="CC82" i="6"/>
  <c r="CC95" i="6"/>
  <c r="CC90" i="6"/>
  <c r="CC341" i="6"/>
  <c r="CG86" i="6"/>
  <c r="CG91" i="6"/>
  <c r="CG98" i="6"/>
  <c r="CG92" i="6"/>
  <c r="CG341" i="6"/>
  <c r="CG93" i="6"/>
  <c r="CG96" i="6"/>
  <c r="CG87" i="6"/>
  <c r="CG97" i="6"/>
  <c r="CG95" i="6"/>
  <c r="CG89" i="6"/>
  <c r="CG88" i="6"/>
  <c r="CG94" i="6"/>
  <c r="CG90" i="6"/>
  <c r="CG99" i="6"/>
  <c r="CK341" i="6"/>
  <c r="CK91" i="6"/>
  <c r="CK102" i="6"/>
  <c r="CK96" i="6"/>
  <c r="CK97" i="6"/>
  <c r="CK92" i="6"/>
  <c r="CK95" i="6"/>
  <c r="CK103" i="6"/>
  <c r="CK90" i="6"/>
  <c r="CK98" i="6"/>
  <c r="CK94" i="6"/>
  <c r="CK93" i="6"/>
  <c r="CK99" i="6"/>
  <c r="CK100" i="6"/>
  <c r="CK101" i="6"/>
  <c r="CO101" i="6"/>
  <c r="CO98" i="6"/>
  <c r="CO100" i="6"/>
  <c r="CO106" i="6"/>
  <c r="CO97" i="6"/>
  <c r="CO104" i="6"/>
  <c r="CO96" i="6"/>
  <c r="CO341" i="6"/>
  <c r="CO94" i="6"/>
  <c r="CO95" i="6"/>
  <c r="CO107" i="6"/>
  <c r="CO105" i="6"/>
  <c r="CO99" i="6"/>
  <c r="CO102" i="6"/>
  <c r="CO103" i="6"/>
  <c r="CS99" i="6"/>
  <c r="CS107" i="6"/>
  <c r="CS105" i="6"/>
  <c r="CS98" i="6"/>
  <c r="CS104" i="6"/>
  <c r="CS111" i="6"/>
  <c r="CS100" i="6"/>
  <c r="CS101" i="6"/>
  <c r="CS103" i="6"/>
  <c r="CS110" i="6"/>
  <c r="CS109" i="6"/>
  <c r="CS106" i="6"/>
  <c r="CS102" i="6"/>
  <c r="CS341" i="6"/>
  <c r="CS108" i="6"/>
  <c r="CW107" i="6"/>
  <c r="CW110" i="6"/>
  <c r="CW105" i="6"/>
  <c r="CW102" i="6"/>
  <c r="CW112" i="6"/>
  <c r="CW108" i="6"/>
  <c r="CW109" i="6"/>
  <c r="CW115" i="6"/>
  <c r="CW113" i="6"/>
  <c r="CW111" i="6"/>
  <c r="CW341" i="6"/>
  <c r="CW114" i="6"/>
  <c r="CW106" i="6"/>
  <c r="CW103" i="6"/>
  <c r="CW104" i="6"/>
  <c r="DA107" i="6"/>
  <c r="DA106" i="6"/>
  <c r="DA110" i="6"/>
  <c r="DA115" i="6"/>
  <c r="DA117" i="6"/>
  <c r="DA114" i="6"/>
  <c r="DA119" i="6"/>
  <c r="DA109" i="6"/>
  <c r="DA113" i="6"/>
  <c r="DA116" i="6"/>
  <c r="DA112" i="6"/>
  <c r="DA111" i="6"/>
  <c r="DA118" i="6"/>
  <c r="DA341" i="6"/>
  <c r="DA108" i="6"/>
  <c r="DE122" i="6"/>
  <c r="DE111" i="6"/>
  <c r="DE121" i="6"/>
  <c r="DE119" i="6"/>
  <c r="DE115" i="6"/>
  <c r="DE113" i="6"/>
  <c r="DE117" i="6"/>
  <c r="DE110" i="6"/>
  <c r="DE114" i="6"/>
  <c r="DE120" i="6"/>
  <c r="DE341" i="6"/>
  <c r="DE116" i="6"/>
  <c r="DE112" i="6"/>
  <c r="DE123" i="6"/>
  <c r="DE118" i="6"/>
  <c r="DI114" i="6"/>
  <c r="DI341" i="6"/>
  <c r="DI126" i="6"/>
  <c r="DI125" i="6"/>
  <c r="DI127" i="6"/>
  <c r="DI123" i="6"/>
  <c r="DI119" i="6"/>
  <c r="DI118" i="6"/>
  <c r="DI121" i="6"/>
  <c r="DI124" i="6"/>
  <c r="DI117" i="6"/>
  <c r="DI122" i="6"/>
  <c r="DI115" i="6"/>
  <c r="DI116" i="6"/>
  <c r="DI120" i="6"/>
  <c r="DM120" i="6"/>
  <c r="DM121" i="6"/>
  <c r="DM130" i="6"/>
  <c r="DM341" i="6"/>
  <c r="DM119" i="6"/>
  <c r="DM118" i="6"/>
  <c r="DM131" i="6"/>
  <c r="DM125" i="6"/>
  <c r="DM126" i="6"/>
  <c r="DM123" i="6"/>
  <c r="DM122" i="6"/>
  <c r="DM128" i="6"/>
  <c r="DM127" i="6"/>
  <c r="DM129" i="6"/>
  <c r="DM124" i="6"/>
  <c r="DQ128" i="6"/>
  <c r="DQ131" i="6"/>
  <c r="DQ341" i="6"/>
  <c r="DQ132" i="6"/>
  <c r="DQ130" i="6"/>
  <c r="DQ122" i="6"/>
  <c r="DQ123" i="6"/>
  <c r="DQ124" i="6"/>
  <c r="DQ135" i="6"/>
  <c r="DQ134" i="6"/>
  <c r="DQ125" i="6"/>
  <c r="DQ127" i="6"/>
  <c r="DQ129" i="6"/>
  <c r="DQ126" i="6"/>
  <c r="DQ133" i="6"/>
  <c r="DU130" i="6"/>
  <c r="DU138" i="6"/>
  <c r="DU127" i="6"/>
  <c r="DU341" i="6"/>
  <c r="DU129" i="6"/>
  <c r="DU128" i="6"/>
  <c r="DU134" i="6"/>
  <c r="DU137" i="6"/>
  <c r="DU136" i="6"/>
  <c r="DU135" i="6"/>
  <c r="DU131" i="6"/>
  <c r="DU133" i="6"/>
  <c r="DU139" i="6"/>
  <c r="DU132" i="6"/>
  <c r="DU126" i="6"/>
  <c r="DY143" i="6"/>
  <c r="DY130" i="6"/>
  <c r="DY134" i="6"/>
  <c r="DY139" i="6"/>
  <c r="DY138" i="6"/>
  <c r="DY140" i="6"/>
  <c r="DY135" i="6"/>
  <c r="DY137" i="6"/>
  <c r="DY136" i="6"/>
  <c r="DY141" i="6"/>
  <c r="DY142" i="6"/>
  <c r="DY132" i="6"/>
  <c r="DY133" i="6"/>
  <c r="DY341" i="6"/>
  <c r="DY131" i="6"/>
  <c r="EC135" i="6"/>
  <c r="EC138" i="6"/>
  <c r="EC147" i="6"/>
  <c r="EC143" i="6"/>
  <c r="EC145" i="6"/>
  <c r="EC142" i="6"/>
  <c r="EC137" i="6"/>
  <c r="EC134" i="6"/>
  <c r="EC140" i="6"/>
  <c r="EC136" i="6"/>
  <c r="EC146" i="6"/>
  <c r="EC341" i="6"/>
  <c r="EC141" i="6"/>
  <c r="EC144" i="6"/>
  <c r="EC139" i="6"/>
  <c r="EG146" i="6"/>
  <c r="EG145" i="6"/>
  <c r="EG143" i="6"/>
  <c r="EG150" i="6"/>
  <c r="EG341" i="6"/>
  <c r="EG138" i="6"/>
  <c r="EG142" i="6"/>
  <c r="EG144" i="6"/>
  <c r="EG151" i="6"/>
  <c r="EG139" i="6"/>
  <c r="EG140" i="6"/>
  <c r="EG149" i="6"/>
  <c r="EG147" i="6"/>
  <c r="EG148" i="6"/>
  <c r="EG141" i="6"/>
  <c r="EK341" i="6"/>
  <c r="EK153" i="6"/>
  <c r="EK145" i="6"/>
  <c r="EK146" i="6"/>
  <c r="EK142" i="6"/>
  <c r="EK155" i="6"/>
  <c r="EK144" i="6"/>
  <c r="EK150" i="6"/>
  <c r="EK149" i="6"/>
  <c r="EK154" i="6"/>
  <c r="EK152" i="6"/>
  <c r="EK147" i="6"/>
  <c r="EK148" i="6"/>
  <c r="EK151" i="6"/>
  <c r="EK143" i="6"/>
  <c r="EO152" i="6"/>
  <c r="EO147" i="6"/>
  <c r="EO151" i="6"/>
  <c r="EO148" i="6"/>
  <c r="EO341" i="6"/>
  <c r="EO146" i="6"/>
  <c r="EO157" i="6"/>
  <c r="EO150" i="6"/>
  <c r="EO156" i="6"/>
  <c r="EO149" i="6"/>
  <c r="EO154" i="6"/>
  <c r="EO155" i="6"/>
  <c r="EO159" i="6"/>
  <c r="EO158" i="6"/>
  <c r="EO153" i="6"/>
  <c r="ES156" i="6"/>
  <c r="ES160" i="6"/>
  <c r="ES151" i="6"/>
  <c r="ES150" i="6"/>
  <c r="ES152" i="6"/>
  <c r="ES157" i="6"/>
  <c r="ES159" i="6"/>
  <c r="ES162" i="6"/>
  <c r="ES153" i="6"/>
  <c r="ES154" i="6"/>
  <c r="ES161" i="6"/>
  <c r="ES163" i="6"/>
  <c r="ES341" i="6"/>
  <c r="ES158" i="6"/>
  <c r="ES155" i="6"/>
  <c r="EW157" i="6"/>
  <c r="EW158" i="6"/>
  <c r="EW341" i="6"/>
  <c r="EW155" i="6"/>
  <c r="EW162" i="6"/>
  <c r="EW160" i="6"/>
  <c r="EW161" i="6"/>
  <c r="EW159" i="6"/>
  <c r="EW165" i="6"/>
  <c r="EW164" i="6"/>
  <c r="EW163" i="6"/>
  <c r="EW156" i="6"/>
  <c r="EW154" i="6"/>
  <c r="EW166" i="6"/>
  <c r="EW167" i="6"/>
  <c r="FA158" i="6"/>
  <c r="FA166" i="6"/>
  <c r="FA162" i="6"/>
  <c r="FA163" i="6"/>
  <c r="FA169" i="6"/>
  <c r="FA167" i="6"/>
  <c r="FA161" i="6"/>
  <c r="FA170" i="6"/>
  <c r="FA341" i="6"/>
  <c r="FA171" i="6"/>
  <c r="FA160" i="6"/>
  <c r="FA159" i="6"/>
  <c r="FA168" i="6"/>
  <c r="FA164" i="6"/>
  <c r="FA165" i="6"/>
  <c r="FE341" i="6"/>
  <c r="FE174" i="6"/>
  <c r="FE175" i="6"/>
  <c r="FE163" i="6"/>
  <c r="FE170" i="6"/>
  <c r="FE169" i="6"/>
  <c r="FE164" i="6"/>
  <c r="FE171" i="6"/>
  <c r="FE165" i="6"/>
  <c r="FE172" i="6"/>
  <c r="FE168" i="6"/>
  <c r="FE162" i="6"/>
  <c r="FE173" i="6"/>
  <c r="FE166" i="6"/>
  <c r="FE167" i="6"/>
  <c r="FI169" i="6"/>
  <c r="FI179" i="6"/>
  <c r="FI166" i="6"/>
  <c r="FI173" i="6"/>
  <c r="FI341" i="6"/>
  <c r="FI177" i="6"/>
  <c r="FI174" i="6"/>
  <c r="FI172" i="6"/>
  <c r="FI178" i="6"/>
  <c r="FI170" i="6"/>
  <c r="FI168" i="6"/>
  <c r="FI175" i="6"/>
  <c r="FI167" i="6"/>
  <c r="FI176" i="6"/>
  <c r="FI171" i="6"/>
  <c r="FM183" i="6"/>
  <c r="FM172" i="6"/>
  <c r="FM173" i="6"/>
  <c r="FM170" i="6"/>
  <c r="FM180" i="6"/>
  <c r="FM182" i="6"/>
  <c r="FM341" i="6"/>
  <c r="FM176" i="6"/>
  <c r="FM178" i="6"/>
  <c r="FM174" i="6"/>
  <c r="FM175" i="6"/>
  <c r="FM181" i="6"/>
  <c r="FM177" i="6"/>
  <c r="FM179" i="6"/>
  <c r="FM171" i="6"/>
  <c r="FQ178" i="6"/>
  <c r="FQ186" i="6"/>
  <c r="FQ341" i="6"/>
  <c r="FQ180" i="6"/>
  <c r="FQ187" i="6"/>
  <c r="FQ174" i="6"/>
  <c r="FQ179" i="6"/>
  <c r="FQ177" i="6"/>
  <c r="FQ184" i="6"/>
  <c r="FQ182" i="6"/>
  <c r="FQ185" i="6"/>
  <c r="FQ183" i="6"/>
  <c r="FQ175" i="6"/>
  <c r="FQ181" i="6"/>
  <c r="FQ176" i="6"/>
  <c r="FU190" i="6"/>
  <c r="FU191" i="6"/>
  <c r="FU187" i="6"/>
  <c r="FU189" i="6"/>
  <c r="FU180" i="6"/>
  <c r="FU179" i="6"/>
  <c r="FU185" i="6"/>
  <c r="FU183" i="6"/>
  <c r="FU178" i="6"/>
  <c r="FU186" i="6"/>
  <c r="FU341" i="6"/>
  <c r="FU184" i="6"/>
  <c r="FU188" i="6"/>
  <c r="FU182" i="6"/>
  <c r="FU181" i="6"/>
  <c r="FY190" i="6"/>
  <c r="FY183" i="6"/>
  <c r="FY191" i="6"/>
  <c r="FY189" i="6"/>
  <c r="FY187" i="6"/>
  <c r="FY194" i="6"/>
  <c r="FY192" i="6"/>
  <c r="FY188" i="6"/>
  <c r="FY185" i="6"/>
  <c r="FY186" i="6"/>
  <c r="FY182" i="6"/>
  <c r="FY195" i="6"/>
  <c r="FY341" i="6"/>
  <c r="FY184" i="6"/>
  <c r="FY193" i="6"/>
  <c r="GC189" i="6"/>
  <c r="GC196" i="6"/>
  <c r="GC199" i="6"/>
  <c r="GC188" i="6"/>
  <c r="GC186" i="6"/>
  <c r="GC341" i="6"/>
  <c r="GC197" i="6"/>
  <c r="GC190" i="6"/>
  <c r="GC192" i="6"/>
  <c r="GC198" i="6"/>
  <c r="GC187" i="6"/>
  <c r="GC193" i="6"/>
  <c r="GC195" i="6"/>
  <c r="GC191" i="6"/>
  <c r="GC194" i="6"/>
  <c r="GG203" i="6"/>
  <c r="GG193" i="6"/>
  <c r="GG191" i="6"/>
  <c r="GG199" i="6"/>
  <c r="GG192" i="6"/>
  <c r="GG194" i="6"/>
  <c r="GG200" i="6"/>
  <c r="GG195" i="6"/>
  <c r="GG202" i="6"/>
  <c r="GG341" i="6"/>
  <c r="GG196" i="6"/>
  <c r="GG190" i="6"/>
  <c r="GG201" i="6"/>
  <c r="GG198" i="6"/>
  <c r="GG197" i="6"/>
  <c r="GK341" i="6"/>
  <c r="GK195" i="6"/>
  <c r="GK199" i="6"/>
  <c r="GK203" i="6"/>
  <c r="GK197" i="6"/>
  <c r="GK205" i="6"/>
  <c r="GK200" i="6"/>
  <c r="GK201" i="6"/>
  <c r="GK202" i="6"/>
  <c r="GK194" i="6"/>
  <c r="GK196" i="6"/>
  <c r="GK204" i="6"/>
  <c r="GK198" i="6"/>
  <c r="GK206" i="6"/>
  <c r="GK207" i="6"/>
  <c r="GO206" i="6"/>
  <c r="GO204" i="6"/>
  <c r="GO207" i="6"/>
  <c r="GO198" i="6"/>
  <c r="GO201" i="6"/>
  <c r="GO205" i="6"/>
  <c r="GO203" i="6"/>
  <c r="GO208" i="6"/>
  <c r="GO211" i="6"/>
  <c r="GO210" i="6"/>
  <c r="GO200" i="6"/>
  <c r="GO202" i="6"/>
  <c r="GO209" i="6"/>
  <c r="GO199" i="6"/>
  <c r="GO341" i="6"/>
  <c r="GS212" i="6"/>
  <c r="GS215" i="6"/>
  <c r="GS207" i="6"/>
  <c r="GS203" i="6"/>
  <c r="GS211" i="6"/>
  <c r="GS213" i="6"/>
  <c r="GS209" i="6"/>
  <c r="GS202" i="6"/>
  <c r="GS214" i="6"/>
  <c r="GS206" i="6"/>
  <c r="GS208" i="6"/>
  <c r="GS341" i="6"/>
  <c r="GS205" i="6"/>
  <c r="GS204" i="6"/>
  <c r="GS210" i="6"/>
  <c r="GW341" i="6"/>
  <c r="GW207" i="6"/>
  <c r="GW211" i="6"/>
  <c r="GW208" i="6"/>
  <c r="GW213" i="6"/>
  <c r="GW216" i="6"/>
  <c r="GW212" i="6"/>
  <c r="GW217" i="6"/>
  <c r="GW210" i="6"/>
  <c r="GW219" i="6"/>
  <c r="GW218" i="6"/>
  <c r="GW209" i="6"/>
  <c r="GW215" i="6"/>
  <c r="GW214" i="6"/>
  <c r="GW206" i="6"/>
  <c r="HA210" i="6"/>
  <c r="HA220" i="6"/>
  <c r="HA219" i="6"/>
  <c r="HA216" i="6"/>
  <c r="HA213" i="6"/>
  <c r="HA223" i="6"/>
  <c r="HA341" i="6"/>
  <c r="HA218" i="6"/>
  <c r="HA215" i="6"/>
  <c r="HA212" i="6"/>
  <c r="HA221" i="6"/>
  <c r="HA214" i="6"/>
  <c r="HA222" i="6"/>
  <c r="HA217" i="6"/>
  <c r="HA211" i="6"/>
  <c r="HE221" i="6"/>
  <c r="HE217" i="6"/>
  <c r="HE222" i="6"/>
  <c r="HE218" i="6"/>
  <c r="HE227" i="6"/>
  <c r="HE341" i="6"/>
  <c r="HE223" i="6"/>
  <c r="HE219" i="6"/>
  <c r="HE220" i="6"/>
  <c r="HE226" i="6"/>
  <c r="HE224" i="6"/>
  <c r="HE225" i="6"/>
  <c r="HE216" i="6"/>
  <c r="HE214" i="6"/>
  <c r="HE215" i="6"/>
  <c r="HI218" i="6"/>
  <c r="HI223" i="6"/>
  <c r="HI230" i="6"/>
  <c r="HI220" i="6"/>
  <c r="HI226" i="6"/>
  <c r="HI231" i="6"/>
  <c r="HI224" i="6"/>
  <c r="HI221" i="6"/>
  <c r="HI229" i="6"/>
  <c r="HI227" i="6"/>
  <c r="HI228" i="6"/>
  <c r="HI341" i="6"/>
  <c r="HI225" i="6"/>
  <c r="HI219" i="6"/>
  <c r="HI222" i="6"/>
  <c r="HM225" i="6"/>
  <c r="HM228" i="6"/>
  <c r="HM231" i="6"/>
  <c r="HM229" i="6"/>
  <c r="HM341" i="6"/>
  <c r="HM232" i="6"/>
  <c r="HM235" i="6"/>
  <c r="HM227" i="6"/>
  <c r="HM226" i="6"/>
  <c r="HM222" i="6"/>
  <c r="HM230" i="6"/>
  <c r="HM223" i="6"/>
  <c r="HM233" i="6"/>
  <c r="HM234" i="6"/>
  <c r="HM224" i="6"/>
  <c r="HQ230" i="6"/>
  <c r="HQ341" i="6"/>
  <c r="HQ231" i="6"/>
  <c r="HQ226" i="6"/>
  <c r="HQ236" i="6"/>
  <c r="HQ237" i="6"/>
  <c r="HQ234" i="6"/>
  <c r="HQ228" i="6"/>
  <c r="HQ233" i="6"/>
  <c r="HQ227" i="6"/>
  <c r="HQ235" i="6"/>
  <c r="HQ229" i="6"/>
  <c r="HQ239" i="6"/>
  <c r="HQ232" i="6"/>
  <c r="HQ238" i="6"/>
  <c r="HU231" i="6"/>
  <c r="HU341" i="6"/>
  <c r="HU242" i="6"/>
  <c r="HU233" i="6"/>
  <c r="HU234" i="6"/>
  <c r="HU241" i="6"/>
  <c r="HU239" i="6"/>
  <c r="HU243" i="6"/>
  <c r="HU238" i="6"/>
  <c r="HU235" i="6"/>
  <c r="HU237" i="6"/>
  <c r="HU232" i="6"/>
  <c r="HU236" i="6"/>
  <c r="HU240" i="6"/>
  <c r="HU230" i="6"/>
  <c r="HY341" i="6"/>
  <c r="HY247" i="6"/>
  <c r="HY243" i="6"/>
  <c r="HY244" i="6"/>
  <c r="HY236" i="6"/>
  <c r="HY242" i="6"/>
  <c r="HY238" i="6"/>
  <c r="HY234" i="6"/>
  <c r="HY241" i="6"/>
  <c r="HY239" i="6"/>
  <c r="HY245" i="6"/>
  <c r="HY246" i="6"/>
  <c r="HY237" i="6"/>
  <c r="HY235" i="6"/>
  <c r="HY240" i="6"/>
  <c r="IC244" i="6"/>
  <c r="IC341" i="6"/>
  <c r="IC250" i="6"/>
  <c r="IC242" i="6"/>
  <c r="IC246" i="6"/>
  <c r="IC245" i="6"/>
  <c r="IC241" i="6"/>
  <c r="IC243" i="6"/>
  <c r="IC251" i="6"/>
  <c r="IC240" i="6"/>
  <c r="IC249" i="6"/>
  <c r="IC238" i="6"/>
  <c r="IC248" i="6"/>
  <c r="IC247" i="6"/>
  <c r="IC239" i="6"/>
  <c r="IG247" i="6"/>
  <c r="IG248" i="6"/>
  <c r="IG341" i="6"/>
  <c r="IG245" i="6"/>
  <c r="IG252" i="6"/>
  <c r="IG251" i="6"/>
  <c r="IG246" i="6"/>
  <c r="IG244" i="6"/>
  <c r="IG250" i="6"/>
  <c r="IG242" i="6"/>
  <c r="IG249" i="6"/>
  <c r="IG253" i="6"/>
  <c r="IG255" i="6"/>
  <c r="IG243" i="6"/>
  <c r="IG254" i="6"/>
  <c r="IK255" i="6"/>
  <c r="IK246" i="6"/>
  <c r="IK259" i="6"/>
  <c r="IK251" i="6"/>
  <c r="IK248" i="6"/>
  <c r="IK257" i="6"/>
  <c r="IK249" i="6"/>
  <c r="IK247" i="6"/>
  <c r="IK253" i="6"/>
  <c r="IK341" i="6"/>
  <c r="IK258" i="6"/>
  <c r="IK256" i="6"/>
  <c r="IK254" i="6"/>
  <c r="IK250" i="6"/>
  <c r="IK252" i="6"/>
  <c r="IO259" i="6"/>
  <c r="IO257" i="6"/>
  <c r="IO258" i="6"/>
  <c r="IO252" i="6"/>
  <c r="IO250" i="6"/>
  <c r="IO256" i="6"/>
  <c r="IO341" i="6"/>
  <c r="IO254" i="6"/>
  <c r="IO263" i="6"/>
  <c r="IO260" i="6"/>
  <c r="IO261" i="6"/>
  <c r="IO255" i="6"/>
  <c r="IO262" i="6"/>
  <c r="IO253" i="6"/>
  <c r="IO251" i="6"/>
  <c r="IS266" i="6"/>
  <c r="IS259" i="6"/>
  <c r="IS262" i="6"/>
  <c r="IS267" i="6"/>
  <c r="IS257" i="6"/>
  <c r="IS264" i="6"/>
  <c r="IS256" i="6"/>
  <c r="IS260" i="6"/>
  <c r="IS255" i="6"/>
  <c r="IS261" i="6"/>
  <c r="IS263" i="6"/>
  <c r="IS254" i="6"/>
  <c r="IS341" i="6"/>
  <c r="IS265" i="6"/>
  <c r="IS258" i="6"/>
  <c r="IW263" i="6"/>
  <c r="IW264" i="6"/>
  <c r="IW261" i="6"/>
  <c r="IW265" i="6"/>
  <c r="IW268" i="6"/>
  <c r="IW271" i="6"/>
  <c r="IW341" i="6"/>
  <c r="IW267" i="6"/>
  <c r="IW259" i="6"/>
  <c r="IW262" i="6"/>
  <c r="IW269" i="6"/>
  <c r="IW258" i="6"/>
  <c r="IW260" i="6"/>
  <c r="IW266" i="6"/>
  <c r="IW270" i="6"/>
  <c r="JA268" i="6"/>
  <c r="JA270" i="6"/>
  <c r="JA263" i="6"/>
  <c r="JA265" i="6"/>
  <c r="JA273" i="6"/>
  <c r="JA272" i="6"/>
  <c r="JA275" i="6"/>
  <c r="JA267" i="6"/>
  <c r="JA274" i="6"/>
  <c r="JA262" i="6"/>
  <c r="JA341" i="6"/>
  <c r="JA264" i="6"/>
  <c r="JA271" i="6"/>
  <c r="JA266" i="6"/>
  <c r="JA269" i="6"/>
  <c r="JE341" i="6"/>
  <c r="JE274" i="6"/>
  <c r="JE270" i="6"/>
  <c r="JE279" i="6"/>
  <c r="JE268" i="6"/>
  <c r="JE277" i="6"/>
  <c r="JE276" i="6"/>
  <c r="JE273" i="6"/>
  <c r="JE271" i="6"/>
  <c r="JE266" i="6"/>
  <c r="JE267" i="6"/>
  <c r="JE269" i="6"/>
  <c r="JE272" i="6"/>
  <c r="JE275" i="6"/>
  <c r="JE278" i="6"/>
  <c r="JI276" i="6"/>
  <c r="JI271" i="6"/>
  <c r="JI279" i="6"/>
  <c r="JI274" i="6"/>
  <c r="JI283" i="6"/>
  <c r="JI281" i="6"/>
  <c r="JI272" i="6"/>
  <c r="JI280" i="6"/>
  <c r="JI278" i="6"/>
  <c r="JI275" i="6"/>
  <c r="JI277" i="6"/>
  <c r="JI282" i="6"/>
  <c r="JI273" i="6"/>
  <c r="JI270" i="6"/>
  <c r="JI341" i="6"/>
  <c r="JM283" i="6"/>
  <c r="JM277" i="6"/>
  <c r="JM282" i="6"/>
  <c r="JM278" i="6"/>
  <c r="JM341" i="6"/>
  <c r="JM281" i="6"/>
  <c r="JM275" i="6"/>
  <c r="JM286" i="6"/>
  <c r="JM285" i="6"/>
  <c r="JM287" i="6"/>
  <c r="JM279" i="6"/>
  <c r="JM276" i="6"/>
  <c r="JM274" i="6"/>
  <c r="JM280" i="6"/>
  <c r="JM284" i="6"/>
  <c r="JQ288" i="6"/>
  <c r="JQ280" i="6"/>
  <c r="JQ286" i="6"/>
  <c r="JQ281" i="6"/>
  <c r="JQ289" i="6"/>
  <c r="JQ285" i="6"/>
  <c r="JQ291" i="6"/>
  <c r="JQ290" i="6"/>
  <c r="JQ283" i="6"/>
  <c r="JQ341" i="6"/>
  <c r="JQ279" i="6"/>
  <c r="JQ278" i="6"/>
  <c r="JQ284" i="6"/>
  <c r="JQ287" i="6"/>
  <c r="JQ282" i="6"/>
  <c r="JU287" i="6"/>
  <c r="JU290" i="6"/>
  <c r="JU285" i="6"/>
  <c r="JU283" i="6"/>
  <c r="JU282" i="6"/>
  <c r="JU284" i="6"/>
  <c r="JU289" i="6"/>
  <c r="JU291" i="6"/>
  <c r="JU286" i="6"/>
  <c r="JU293" i="6"/>
  <c r="JU341" i="6"/>
  <c r="JU295" i="6"/>
  <c r="JU294" i="6"/>
  <c r="JU292" i="6"/>
  <c r="JU288" i="6"/>
  <c r="JY289" i="6"/>
  <c r="JY291" i="6"/>
  <c r="JY341" i="6"/>
  <c r="JY292" i="6"/>
  <c r="JY295" i="6"/>
  <c r="JY296" i="6"/>
  <c r="JY290" i="6"/>
  <c r="JY297" i="6"/>
  <c r="JY294" i="6"/>
  <c r="JY288" i="6"/>
  <c r="JY293" i="6"/>
  <c r="JY287" i="6"/>
  <c r="JY298" i="6"/>
  <c r="JY286" i="6"/>
  <c r="JY299" i="6"/>
  <c r="KC290" i="6"/>
  <c r="KC302" i="6"/>
  <c r="KC292" i="6"/>
  <c r="KC301" i="6"/>
  <c r="KC298" i="6"/>
  <c r="KC291" i="6"/>
  <c r="KC299" i="6"/>
  <c r="KC293" i="6"/>
  <c r="KC303" i="6"/>
  <c r="KC341" i="6"/>
  <c r="KC294" i="6"/>
  <c r="KC297" i="6"/>
  <c r="KC295" i="6"/>
  <c r="KC296" i="6"/>
  <c r="KC300" i="6"/>
  <c r="KG341" i="6"/>
  <c r="KG294" i="6"/>
  <c r="KG296" i="6"/>
  <c r="KG306" i="6"/>
  <c r="KG299" i="6"/>
  <c r="KG302" i="6"/>
  <c r="KG301" i="6"/>
  <c r="KG304" i="6"/>
  <c r="KG300" i="6"/>
  <c r="KG298" i="6"/>
  <c r="KG307" i="6"/>
  <c r="KG303" i="6"/>
  <c r="KG305" i="6"/>
  <c r="KG297" i="6"/>
  <c r="KG295" i="6"/>
  <c r="KK309" i="6"/>
  <c r="KK311" i="6"/>
  <c r="KK306" i="6"/>
  <c r="KK301" i="6"/>
  <c r="KK304" i="6"/>
  <c r="KK341" i="6"/>
  <c r="KK298" i="6"/>
  <c r="KK300" i="6"/>
  <c r="KK305" i="6"/>
  <c r="KK302" i="6"/>
  <c r="KK310" i="6"/>
  <c r="KK308" i="6"/>
  <c r="KK303" i="6"/>
  <c r="KK299" i="6"/>
  <c r="KK307" i="6"/>
  <c r="KO311" i="6"/>
  <c r="KO315" i="6"/>
  <c r="KO313" i="6"/>
  <c r="KO309" i="6"/>
  <c r="KO310" i="6"/>
  <c r="KO303" i="6"/>
  <c r="KO302" i="6"/>
  <c r="KO304" i="6"/>
  <c r="KO308" i="6"/>
  <c r="KO306" i="6"/>
  <c r="KO312" i="6"/>
  <c r="KO307" i="6"/>
  <c r="KO305" i="6"/>
  <c r="KO314" i="6"/>
  <c r="KO341" i="6"/>
  <c r="KS319" i="6"/>
  <c r="KS312" i="6"/>
  <c r="KS341" i="6"/>
  <c r="KS309" i="6"/>
  <c r="KS308" i="6"/>
  <c r="KS310" i="6"/>
  <c r="KS307" i="6"/>
  <c r="KS313" i="6"/>
  <c r="KS314" i="6"/>
  <c r="KS315" i="6"/>
  <c r="KS311" i="6"/>
  <c r="KS316" i="6"/>
  <c r="KS318" i="6"/>
  <c r="KS317" i="6"/>
  <c r="KS306" i="6"/>
  <c r="KW313" i="6"/>
  <c r="KW323" i="6"/>
  <c r="KW320" i="6"/>
  <c r="KW319" i="6"/>
  <c r="KW317" i="6"/>
  <c r="KW312" i="6"/>
  <c r="KW341" i="6"/>
  <c r="KW315" i="6"/>
  <c r="KW316" i="6"/>
  <c r="KW311" i="6"/>
  <c r="KW322" i="6"/>
  <c r="KW314" i="6"/>
  <c r="KW318" i="6"/>
  <c r="KW321" i="6"/>
  <c r="KW310" i="6"/>
  <c r="LA319" i="6"/>
  <c r="LA325" i="6"/>
  <c r="LA341" i="6"/>
  <c r="LA326" i="6"/>
  <c r="LA316" i="6"/>
  <c r="LA318" i="6"/>
  <c r="LA322" i="6"/>
  <c r="LA314" i="6"/>
  <c r="LA327" i="6"/>
  <c r="LA323" i="6"/>
  <c r="LA321" i="6"/>
  <c r="LA324" i="6"/>
  <c r="LA315" i="6"/>
  <c r="LA317" i="6"/>
  <c r="LA320" i="6"/>
  <c r="LE323" i="6"/>
  <c r="LE326" i="6"/>
  <c r="LE320" i="6"/>
  <c r="LE328" i="6"/>
  <c r="LE319" i="6"/>
  <c r="LE330" i="6"/>
  <c r="LE329" i="6"/>
  <c r="LE331" i="6"/>
  <c r="LE341" i="6"/>
  <c r="LE325" i="6"/>
  <c r="LE324" i="6"/>
  <c r="LE327" i="6"/>
  <c r="LE322" i="6"/>
  <c r="LE321" i="6"/>
  <c r="LE318" i="6"/>
  <c r="LI326" i="6"/>
  <c r="LI330" i="6"/>
  <c r="LI327" i="6"/>
  <c r="LI325" i="6"/>
  <c r="LI324" i="6"/>
  <c r="LI334" i="6"/>
  <c r="LI329" i="6"/>
  <c r="LI335" i="6"/>
  <c r="LI322" i="6"/>
  <c r="LI333" i="6"/>
  <c r="LI323" i="6"/>
  <c r="LI341" i="6"/>
  <c r="LI328" i="6"/>
  <c r="LI332" i="6"/>
  <c r="LI331" i="6"/>
  <c r="LM337" i="6"/>
  <c r="LM332" i="6"/>
  <c r="LM327" i="6"/>
  <c r="LM336" i="6"/>
  <c r="LM341" i="6"/>
  <c r="LM331" i="6"/>
  <c r="LM4" i="6"/>
  <c r="LM3" i="6"/>
  <c r="LM330" i="6"/>
  <c r="LM328" i="6"/>
  <c r="LM335" i="6"/>
  <c r="LM333" i="6"/>
  <c r="LM329" i="6"/>
  <c r="LM325" i="6"/>
  <c r="LM326" i="6"/>
  <c r="LM334" i="6"/>
  <c r="LQ8" i="6"/>
  <c r="LQ5" i="6"/>
  <c r="LQ331" i="6"/>
  <c r="LQ333" i="6"/>
  <c r="LQ335" i="6"/>
  <c r="LQ341" i="6"/>
  <c r="LQ336" i="6"/>
  <c r="LQ329" i="6"/>
  <c r="LQ330" i="6"/>
  <c r="LQ332" i="6"/>
  <c r="LQ6" i="6"/>
  <c r="LQ3" i="6"/>
  <c r="LQ334" i="6"/>
  <c r="LQ7" i="6"/>
  <c r="LQ337" i="6"/>
  <c r="LQ4" i="6"/>
  <c r="LU7" i="6"/>
  <c r="LU6" i="6"/>
  <c r="LU8" i="6"/>
  <c r="LU11" i="6"/>
  <c r="LU333" i="6"/>
  <c r="LU9" i="6"/>
  <c r="LU335" i="6"/>
  <c r="LU4" i="6"/>
  <c r="LU10" i="6"/>
  <c r="LU12" i="6"/>
  <c r="LU5" i="6"/>
  <c r="LU336" i="6"/>
  <c r="LU334" i="6"/>
  <c r="LU3" i="6"/>
  <c r="LU337" i="6"/>
  <c r="LU341" i="6"/>
  <c r="LY12" i="6"/>
  <c r="LY4" i="6"/>
  <c r="LY10" i="6"/>
  <c r="LY3" i="6"/>
  <c r="LY7" i="6"/>
  <c r="LY14" i="6"/>
  <c r="LY5" i="6"/>
  <c r="LY13" i="6"/>
  <c r="LY9" i="6"/>
  <c r="LY8" i="6"/>
  <c r="LY16" i="6"/>
  <c r="LY15" i="6"/>
  <c r="LY11" i="6"/>
  <c r="LY6" i="6"/>
  <c r="LY341" i="6"/>
  <c r="LY337" i="6"/>
  <c r="F341" i="6"/>
  <c r="F14" i="6"/>
  <c r="F11" i="6"/>
  <c r="F17" i="6"/>
  <c r="F10" i="6"/>
  <c r="F20" i="6"/>
  <c r="F13" i="6"/>
  <c r="F16" i="6"/>
  <c r="F15" i="6"/>
  <c r="F12" i="6"/>
  <c r="F7" i="6"/>
  <c r="F9" i="6"/>
  <c r="F19" i="6"/>
  <c r="F8" i="6"/>
  <c r="F18" i="6"/>
  <c r="J17" i="6"/>
  <c r="J341" i="6"/>
  <c r="J12" i="6"/>
  <c r="J11" i="6"/>
  <c r="J19" i="6"/>
  <c r="J24" i="6"/>
  <c r="J16" i="6"/>
  <c r="J20" i="6"/>
  <c r="J14" i="6"/>
  <c r="J13" i="6"/>
  <c r="J22" i="6"/>
  <c r="J15" i="6"/>
  <c r="J23" i="6"/>
  <c r="J21" i="6"/>
  <c r="J18" i="6"/>
  <c r="Z30" i="6"/>
  <c r="Z37" i="6"/>
  <c r="Z39" i="6"/>
  <c r="Z31" i="6"/>
  <c r="Z36" i="6"/>
  <c r="Z40" i="6"/>
  <c r="Z38" i="6"/>
  <c r="Z341" i="6"/>
  <c r="Z34" i="6"/>
  <c r="Z29" i="6"/>
  <c r="Z27" i="6"/>
  <c r="Z35" i="6"/>
  <c r="Z33" i="6"/>
  <c r="Z32" i="6"/>
  <c r="Z28" i="6"/>
  <c r="AP49" i="6"/>
  <c r="AP51" i="6"/>
  <c r="AP55" i="6"/>
  <c r="AP53" i="6"/>
  <c r="AP44" i="6"/>
  <c r="AP45" i="6"/>
  <c r="AP47" i="6"/>
  <c r="AP50" i="6"/>
  <c r="AP341" i="6"/>
  <c r="AP54" i="6"/>
  <c r="AP46" i="6"/>
  <c r="AP56" i="6"/>
  <c r="AP43" i="6"/>
  <c r="AP48" i="6"/>
  <c r="AP52" i="6"/>
  <c r="BF61" i="6"/>
  <c r="BF63" i="6"/>
  <c r="BF59" i="6"/>
  <c r="BF70" i="6"/>
  <c r="BF67" i="6"/>
  <c r="BF64" i="6"/>
  <c r="BF69" i="6"/>
  <c r="BF68" i="6"/>
  <c r="BF65" i="6"/>
  <c r="BF60" i="6"/>
  <c r="BF72" i="6"/>
  <c r="BF71" i="6"/>
  <c r="BF341" i="6"/>
  <c r="BF66" i="6"/>
  <c r="BF62" i="6"/>
  <c r="BV341" i="6"/>
  <c r="BV80" i="6"/>
  <c r="BV88" i="6"/>
  <c r="BV75" i="6"/>
  <c r="BV78" i="6"/>
  <c r="BV87" i="6"/>
  <c r="BV76" i="6"/>
  <c r="BV79" i="6"/>
  <c r="BV84" i="6"/>
  <c r="BV85" i="6"/>
  <c r="BV86" i="6"/>
  <c r="BV77" i="6"/>
  <c r="BV81" i="6"/>
  <c r="BV82" i="6"/>
  <c r="BV83" i="6"/>
  <c r="CL95" i="6"/>
  <c r="CL94" i="6"/>
  <c r="CL92" i="6"/>
  <c r="CL99" i="6"/>
  <c r="CL93" i="6"/>
  <c r="CL103" i="6"/>
  <c r="CL101" i="6"/>
  <c r="CL96" i="6"/>
  <c r="CL98" i="6"/>
  <c r="CL91" i="6"/>
  <c r="CL97" i="6"/>
  <c r="CL104" i="6"/>
  <c r="CL100" i="6"/>
  <c r="CL341" i="6"/>
  <c r="CL102" i="6"/>
  <c r="DB113" i="6"/>
  <c r="DB119" i="6"/>
  <c r="DB110" i="6"/>
  <c r="DB115" i="6"/>
  <c r="DB114" i="6"/>
  <c r="DB120" i="6"/>
  <c r="DB108" i="6"/>
  <c r="DB341" i="6"/>
  <c r="DB117" i="6"/>
  <c r="DB116" i="6"/>
  <c r="DB107" i="6"/>
  <c r="DB112" i="6"/>
  <c r="DB111" i="6"/>
  <c r="DB109" i="6"/>
  <c r="DB118" i="6"/>
  <c r="DR131" i="6"/>
  <c r="DR130" i="6"/>
  <c r="DR125" i="6"/>
  <c r="DR134" i="6"/>
  <c r="DR133" i="6"/>
  <c r="DR132" i="6"/>
  <c r="DR341" i="6"/>
  <c r="DR135" i="6"/>
  <c r="DR128" i="6"/>
  <c r="DR136" i="6"/>
  <c r="DR129" i="6"/>
  <c r="DR126" i="6"/>
  <c r="DR127" i="6"/>
  <c r="DR124" i="6"/>
  <c r="DR123" i="6"/>
  <c r="EF145" i="6"/>
  <c r="EF141" i="6"/>
  <c r="EF148" i="6"/>
  <c r="EF146" i="6"/>
  <c r="EF150" i="6"/>
  <c r="EF137" i="6"/>
  <c r="EF139" i="6"/>
  <c r="EF341" i="6"/>
  <c r="EF147" i="6"/>
  <c r="EF144" i="6"/>
  <c r="EF149" i="6"/>
  <c r="EF142" i="6"/>
  <c r="EF143" i="6"/>
  <c r="EF138" i="6"/>
  <c r="EF140" i="6"/>
  <c r="EN150" i="6"/>
  <c r="EN154" i="6"/>
  <c r="EN156" i="6"/>
  <c r="EN153" i="6"/>
  <c r="EN157" i="6"/>
  <c r="EN147" i="6"/>
  <c r="EN158" i="6"/>
  <c r="EN155" i="6"/>
  <c r="EN341" i="6"/>
  <c r="EN145" i="6"/>
  <c r="EN149" i="6"/>
  <c r="EN148" i="6"/>
  <c r="EN152" i="6"/>
  <c r="EN151" i="6"/>
  <c r="EN146" i="6"/>
  <c r="EV164" i="6"/>
  <c r="EV341" i="6"/>
  <c r="EV154" i="6"/>
  <c r="EV159" i="6"/>
  <c r="EV153" i="6"/>
  <c r="EV160" i="6"/>
  <c r="EV157" i="6"/>
  <c r="EV161" i="6"/>
  <c r="EV155" i="6"/>
  <c r="EV162" i="6"/>
  <c r="EV156" i="6"/>
  <c r="EV158" i="6"/>
  <c r="EV165" i="6"/>
  <c r="EV166" i="6"/>
  <c r="EV163" i="6"/>
  <c r="FD169" i="6"/>
  <c r="FD161" i="6"/>
  <c r="FD172" i="6"/>
  <c r="FD170" i="6"/>
  <c r="FD167" i="6"/>
  <c r="FD162" i="6"/>
  <c r="FD164" i="6"/>
  <c r="FD165" i="6"/>
  <c r="FD163" i="6"/>
  <c r="FD341" i="6"/>
  <c r="FD166" i="6"/>
  <c r="FD171" i="6"/>
  <c r="FD168" i="6"/>
  <c r="FD174" i="6"/>
  <c r="FD173" i="6"/>
  <c r="FJ177" i="6"/>
  <c r="FJ168" i="6"/>
  <c r="FJ167" i="6"/>
  <c r="FJ169" i="6"/>
  <c r="FJ178" i="6"/>
  <c r="FJ172" i="6"/>
  <c r="FJ179" i="6"/>
  <c r="FJ180" i="6"/>
  <c r="FJ173" i="6"/>
  <c r="FJ174" i="6"/>
  <c r="FJ170" i="6"/>
  <c r="FJ171" i="6"/>
  <c r="FJ175" i="6"/>
  <c r="FJ176" i="6"/>
  <c r="FJ341" i="6"/>
  <c r="FO177" i="6"/>
  <c r="FO183" i="6"/>
  <c r="FO178" i="6"/>
  <c r="FO175" i="6"/>
  <c r="FO182" i="6"/>
  <c r="FO176" i="6"/>
  <c r="FO341" i="6"/>
  <c r="FO179" i="6"/>
  <c r="FO184" i="6"/>
  <c r="FO185" i="6"/>
  <c r="FO173" i="6"/>
  <c r="FO180" i="6"/>
  <c r="FO174" i="6"/>
  <c r="FO172" i="6"/>
  <c r="FO181" i="6"/>
  <c r="FZ183" i="6"/>
  <c r="FZ188" i="6"/>
  <c r="FZ187" i="6"/>
  <c r="FZ185" i="6"/>
  <c r="FZ195" i="6"/>
  <c r="FZ191" i="6"/>
  <c r="FZ192" i="6"/>
  <c r="FZ190" i="6"/>
  <c r="FZ193" i="6"/>
  <c r="FZ194" i="6"/>
  <c r="FZ184" i="6"/>
  <c r="FZ186" i="6"/>
  <c r="FZ196" i="6"/>
  <c r="FZ189" i="6"/>
  <c r="FZ341" i="6"/>
  <c r="GJ203" i="6"/>
  <c r="GJ206" i="6"/>
  <c r="GJ199" i="6"/>
  <c r="GJ198" i="6"/>
  <c r="GJ201" i="6"/>
  <c r="GJ202" i="6"/>
  <c r="GJ194" i="6"/>
  <c r="GJ197" i="6"/>
  <c r="GJ195" i="6"/>
  <c r="GJ196" i="6"/>
  <c r="GJ193" i="6"/>
  <c r="GJ205" i="6"/>
  <c r="GJ204" i="6"/>
  <c r="GJ200" i="6"/>
  <c r="GJ341" i="6"/>
  <c r="GU207" i="6"/>
  <c r="GU204" i="6"/>
  <c r="GU341" i="6"/>
  <c r="GU206" i="6"/>
  <c r="GU211" i="6"/>
  <c r="GU213" i="6"/>
  <c r="GU215" i="6"/>
  <c r="GU217" i="6"/>
  <c r="GU209" i="6"/>
  <c r="GU212" i="6"/>
  <c r="GU210" i="6"/>
  <c r="GU214" i="6"/>
  <c r="GU216" i="6"/>
  <c r="GU208" i="6"/>
  <c r="GU205" i="6"/>
  <c r="HP234" i="6"/>
  <c r="HP233" i="6"/>
  <c r="HP235" i="6"/>
  <c r="HP237" i="6"/>
  <c r="HP225" i="6"/>
  <c r="HP230" i="6"/>
  <c r="HP232" i="6"/>
  <c r="HP236" i="6"/>
  <c r="HP227" i="6"/>
  <c r="HP229" i="6"/>
  <c r="HP341" i="6"/>
  <c r="HP228" i="6"/>
  <c r="HP231" i="6"/>
  <c r="HP226" i="6"/>
  <c r="HP238" i="6"/>
  <c r="IA244" i="6"/>
  <c r="IA247" i="6"/>
  <c r="IA241" i="6"/>
  <c r="IA236" i="6"/>
  <c r="IA240" i="6"/>
  <c r="IA239" i="6"/>
  <c r="IA243" i="6"/>
  <c r="IA246" i="6"/>
  <c r="IA237" i="6"/>
  <c r="IA238" i="6"/>
  <c r="IA242" i="6"/>
  <c r="IA341" i="6"/>
  <c r="IA248" i="6"/>
  <c r="IA245" i="6"/>
  <c r="IA249" i="6"/>
  <c r="IL248" i="6"/>
  <c r="IL251" i="6"/>
  <c r="IL260" i="6"/>
  <c r="IL254" i="6"/>
  <c r="IL258" i="6"/>
  <c r="IL253" i="6"/>
  <c r="IL249" i="6"/>
  <c r="IL257" i="6"/>
  <c r="IL256" i="6"/>
  <c r="IL255" i="6"/>
  <c r="IL341" i="6"/>
  <c r="IL259" i="6"/>
  <c r="IL252" i="6"/>
  <c r="IL247" i="6"/>
  <c r="IL250" i="6"/>
  <c r="JB265" i="6"/>
  <c r="JB263" i="6"/>
  <c r="JB271" i="6"/>
  <c r="JB276" i="6"/>
  <c r="JB273" i="6"/>
  <c r="JB272" i="6"/>
  <c r="JB268" i="6"/>
  <c r="JB269" i="6"/>
  <c r="JB275" i="6"/>
  <c r="JB274" i="6"/>
  <c r="JB266" i="6"/>
  <c r="JB264" i="6"/>
  <c r="JB267" i="6"/>
  <c r="JB270" i="6"/>
  <c r="JB341" i="6"/>
  <c r="JW292" i="6"/>
  <c r="JW341" i="6"/>
  <c r="JW289" i="6"/>
  <c r="JW293" i="6"/>
  <c r="JW290" i="6"/>
  <c r="JW284" i="6"/>
  <c r="JW297" i="6"/>
  <c r="JW287" i="6"/>
  <c r="JW291" i="6"/>
  <c r="JW294" i="6"/>
  <c r="JW288" i="6"/>
  <c r="JW295" i="6"/>
  <c r="JW285" i="6"/>
  <c r="JW296" i="6"/>
  <c r="JW286" i="6"/>
  <c r="KR305" i="6"/>
  <c r="KR318" i="6"/>
  <c r="KR316" i="6"/>
  <c r="KR306" i="6"/>
  <c r="KR309" i="6"/>
  <c r="KR341" i="6"/>
  <c r="KR317" i="6"/>
  <c r="KR310" i="6"/>
  <c r="KR308" i="6"/>
  <c r="KR313" i="6"/>
  <c r="KR312" i="6"/>
  <c r="KR314" i="6"/>
  <c r="KR307" i="6"/>
  <c r="KR311" i="6"/>
  <c r="KR315" i="6"/>
  <c r="LH328" i="6"/>
  <c r="LH325" i="6"/>
  <c r="LH323" i="6"/>
  <c r="LH322" i="6"/>
  <c r="LH326" i="6"/>
  <c r="LH332" i="6"/>
  <c r="LH330" i="6"/>
  <c r="LH341" i="6"/>
  <c r="LH321" i="6"/>
  <c r="LH331" i="6"/>
  <c r="LH334" i="6"/>
  <c r="LH327" i="6"/>
  <c r="LH333" i="6"/>
  <c r="LH329" i="6"/>
  <c r="LH324" i="6"/>
  <c r="LS8" i="6"/>
  <c r="LS4" i="6"/>
  <c r="LS333" i="6"/>
  <c r="LS336" i="6"/>
  <c r="LS6" i="6"/>
  <c r="LS331" i="6"/>
  <c r="LS10" i="6"/>
  <c r="LS3" i="6"/>
  <c r="LS5" i="6"/>
  <c r="LS337" i="6"/>
  <c r="LS341" i="6"/>
  <c r="LS332" i="6"/>
  <c r="LS334" i="6"/>
  <c r="LS335" i="6"/>
  <c r="LS7" i="6"/>
  <c r="LS9" i="6"/>
  <c r="IR264" i="6"/>
  <c r="IR262" i="6"/>
  <c r="IR263" i="6"/>
  <c r="IR258" i="6"/>
  <c r="IR341" i="6"/>
  <c r="IR265" i="6"/>
  <c r="IR260" i="6"/>
  <c r="IR261" i="6"/>
  <c r="IR254" i="6"/>
  <c r="IR255" i="6"/>
  <c r="IR266" i="6"/>
  <c r="IR253" i="6"/>
  <c r="IR257" i="6"/>
  <c r="IR259" i="6"/>
  <c r="IR256" i="6"/>
  <c r="JN288" i="6"/>
  <c r="JN284" i="6"/>
  <c r="JN280" i="6"/>
  <c r="JN281" i="6"/>
  <c r="JN286" i="6"/>
  <c r="JN279" i="6"/>
  <c r="JN287" i="6"/>
  <c r="JN283" i="6"/>
  <c r="JN341" i="6"/>
  <c r="JN275" i="6"/>
  <c r="JN285" i="6"/>
  <c r="JN277" i="6"/>
  <c r="JN276" i="6"/>
  <c r="JN282" i="6"/>
  <c r="JN278" i="6"/>
  <c r="JX295" i="6"/>
  <c r="JX297" i="6"/>
  <c r="JX290" i="6"/>
  <c r="JX292" i="6"/>
  <c r="JX296" i="6"/>
  <c r="JX291" i="6"/>
  <c r="JX293" i="6"/>
  <c r="JX287" i="6"/>
  <c r="JX289" i="6"/>
  <c r="JX341" i="6"/>
  <c r="JX286" i="6"/>
  <c r="JX298" i="6"/>
  <c r="JX288" i="6"/>
  <c r="JX285" i="6"/>
  <c r="JX294" i="6"/>
  <c r="KN307" i="6"/>
  <c r="KN306" i="6"/>
  <c r="KN305" i="6"/>
  <c r="KN341" i="6"/>
  <c r="KN314" i="6"/>
  <c r="KN308" i="6"/>
  <c r="KN304" i="6"/>
  <c r="KN312" i="6"/>
  <c r="KN310" i="6"/>
  <c r="KN313" i="6"/>
  <c r="KN309" i="6"/>
  <c r="KN302" i="6"/>
  <c r="KN311" i="6"/>
  <c r="KN303" i="6"/>
  <c r="KN301" i="6"/>
  <c r="LD330" i="6"/>
  <c r="LD320" i="6"/>
  <c r="LD341" i="6"/>
  <c r="LD326" i="6"/>
  <c r="LD327" i="6"/>
  <c r="LD324" i="6"/>
  <c r="LD329" i="6"/>
  <c r="LD319" i="6"/>
  <c r="LD322" i="6"/>
  <c r="LD325" i="6"/>
  <c r="LD323" i="6"/>
  <c r="LD328" i="6"/>
  <c r="LD318" i="6"/>
  <c r="LD317" i="6"/>
  <c r="LD321" i="6"/>
  <c r="LO335" i="6"/>
  <c r="LO333" i="6"/>
  <c r="LO336" i="6"/>
  <c r="LO341" i="6"/>
  <c r="LO5" i="6"/>
  <c r="LO330" i="6"/>
  <c r="LO334" i="6"/>
  <c r="LO332" i="6"/>
  <c r="LO328" i="6"/>
  <c r="LO331" i="6"/>
  <c r="LO337" i="6"/>
  <c r="LO327" i="6"/>
  <c r="LO4" i="6"/>
  <c r="LO3" i="6"/>
  <c r="LO6" i="6"/>
  <c r="LO329" i="6"/>
  <c r="N28" i="6"/>
  <c r="N27" i="6"/>
  <c r="N22" i="6"/>
  <c r="N15" i="6"/>
  <c r="N25" i="6"/>
  <c r="N26" i="6"/>
  <c r="N18" i="6"/>
  <c r="N17" i="6"/>
  <c r="N20" i="6"/>
  <c r="N24" i="6"/>
  <c r="N21" i="6"/>
  <c r="N19" i="6"/>
  <c r="N341" i="6"/>
  <c r="N23" i="6"/>
  <c r="N16" i="6"/>
  <c r="AD43" i="6"/>
  <c r="AD35" i="6"/>
  <c r="AD37" i="6"/>
  <c r="AD32" i="6"/>
  <c r="AD40" i="6"/>
  <c r="AD34" i="6"/>
  <c r="AD38" i="6"/>
  <c r="AD341" i="6"/>
  <c r="AD39" i="6"/>
  <c r="AD41" i="6"/>
  <c r="AD31" i="6"/>
  <c r="AD42" i="6"/>
  <c r="AD36" i="6"/>
  <c r="AD44" i="6"/>
  <c r="AD33" i="6"/>
  <c r="AT57" i="6"/>
  <c r="AT50" i="6"/>
  <c r="AT49" i="6"/>
  <c r="AT53" i="6"/>
  <c r="AT55" i="6"/>
  <c r="AT52" i="6"/>
  <c r="AT59" i="6"/>
  <c r="AT56" i="6"/>
  <c r="AT54" i="6"/>
  <c r="AT341" i="6"/>
  <c r="AT58" i="6"/>
  <c r="AT51" i="6"/>
  <c r="AT60" i="6"/>
  <c r="AT48" i="6"/>
  <c r="AT47" i="6"/>
  <c r="BJ70" i="6"/>
  <c r="BJ68" i="6"/>
  <c r="BJ66" i="6"/>
  <c r="BJ75" i="6"/>
  <c r="BJ69" i="6"/>
  <c r="BJ63" i="6"/>
  <c r="BJ72" i="6"/>
  <c r="BJ67" i="6"/>
  <c r="BJ341" i="6"/>
  <c r="BJ74" i="6"/>
  <c r="BJ73" i="6"/>
  <c r="BJ65" i="6"/>
  <c r="BJ64" i="6"/>
  <c r="BJ76" i="6"/>
  <c r="BJ71" i="6"/>
  <c r="BZ91" i="6"/>
  <c r="BZ79" i="6"/>
  <c r="BZ80" i="6"/>
  <c r="BZ86" i="6"/>
  <c r="BZ89" i="6"/>
  <c r="BZ341" i="6"/>
  <c r="BZ82" i="6"/>
  <c r="BZ88" i="6"/>
  <c r="BZ87" i="6"/>
  <c r="BZ83" i="6"/>
  <c r="BZ84" i="6"/>
  <c r="BZ81" i="6"/>
  <c r="BZ85" i="6"/>
  <c r="BZ90" i="6"/>
  <c r="BZ92" i="6"/>
  <c r="CP99" i="6"/>
  <c r="CP104" i="6"/>
  <c r="CP108" i="6"/>
  <c r="CP105" i="6"/>
  <c r="CP341" i="6"/>
  <c r="CP96" i="6"/>
  <c r="CP95" i="6"/>
  <c r="CP102" i="6"/>
  <c r="CP97" i="6"/>
  <c r="CP101" i="6"/>
  <c r="CP106" i="6"/>
  <c r="CP103" i="6"/>
  <c r="CP107" i="6"/>
  <c r="CP100" i="6"/>
  <c r="CP98" i="6"/>
  <c r="DF116" i="6"/>
  <c r="DF113" i="6"/>
  <c r="DF115" i="6"/>
  <c r="DF124" i="6"/>
  <c r="DF120" i="6"/>
  <c r="DF112" i="6"/>
  <c r="DF123" i="6"/>
  <c r="DF119" i="6"/>
  <c r="DF121" i="6"/>
  <c r="DF111" i="6"/>
  <c r="DF122" i="6"/>
  <c r="DF118" i="6"/>
  <c r="DF341" i="6"/>
  <c r="DF114" i="6"/>
  <c r="DF117" i="6"/>
  <c r="DV133" i="6"/>
  <c r="DV137" i="6"/>
  <c r="DV131" i="6"/>
  <c r="DV134" i="6"/>
  <c r="DV341" i="6"/>
  <c r="DV135" i="6"/>
  <c r="DV139" i="6"/>
  <c r="DV128" i="6"/>
  <c r="DV127" i="6"/>
  <c r="DV138" i="6"/>
  <c r="DV130" i="6"/>
  <c r="DV132" i="6"/>
  <c r="DV129" i="6"/>
  <c r="DV136" i="6"/>
  <c r="DV140" i="6"/>
  <c r="EH143" i="6"/>
  <c r="EH148" i="6"/>
  <c r="EH141" i="6"/>
  <c r="EH142" i="6"/>
  <c r="EH139" i="6"/>
  <c r="EH140" i="6"/>
  <c r="EH149" i="6"/>
  <c r="EH145" i="6"/>
  <c r="EH341" i="6"/>
  <c r="EH151" i="6"/>
  <c r="EH150" i="6"/>
  <c r="EH146" i="6"/>
  <c r="EH147" i="6"/>
  <c r="EH144" i="6"/>
  <c r="EH152" i="6"/>
  <c r="EP153" i="6"/>
  <c r="EP156" i="6"/>
  <c r="EP147" i="6"/>
  <c r="EP150" i="6"/>
  <c r="EP155" i="6"/>
  <c r="EP341" i="6"/>
  <c r="EP149" i="6"/>
  <c r="EP157" i="6"/>
  <c r="EP152" i="6"/>
  <c r="EP160" i="6"/>
  <c r="EP151" i="6"/>
  <c r="EP159" i="6"/>
  <c r="EP148" i="6"/>
  <c r="EP154" i="6"/>
  <c r="EP158" i="6"/>
  <c r="EX163" i="6"/>
  <c r="EX157" i="6"/>
  <c r="EX156" i="6"/>
  <c r="EX167" i="6"/>
  <c r="EX159" i="6"/>
  <c r="EX161" i="6"/>
  <c r="EX162" i="6"/>
  <c r="EX158" i="6"/>
  <c r="EX160" i="6"/>
  <c r="EX165" i="6"/>
  <c r="EX341" i="6"/>
  <c r="EX164" i="6"/>
  <c r="EX168" i="6"/>
  <c r="EX155" i="6"/>
  <c r="EX166" i="6"/>
  <c r="FF171" i="6"/>
  <c r="FF166" i="6"/>
  <c r="FF163" i="6"/>
  <c r="FF170" i="6"/>
  <c r="FF176" i="6"/>
  <c r="FF164" i="6"/>
  <c r="FF169" i="6"/>
  <c r="FF175" i="6"/>
  <c r="FF165" i="6"/>
  <c r="FF172" i="6"/>
  <c r="FF341" i="6"/>
  <c r="FF168" i="6"/>
  <c r="FF167" i="6"/>
  <c r="FF174" i="6"/>
  <c r="FF173" i="6"/>
  <c r="FK178" i="6"/>
  <c r="FK170" i="6"/>
  <c r="FK169" i="6"/>
  <c r="FK177" i="6"/>
  <c r="FK180" i="6"/>
  <c r="FK176" i="6"/>
  <c r="FK179" i="6"/>
  <c r="FK172" i="6"/>
  <c r="FK173" i="6"/>
  <c r="FK341" i="6"/>
  <c r="FK181" i="6"/>
  <c r="FK174" i="6"/>
  <c r="FK168" i="6"/>
  <c r="FK171" i="6"/>
  <c r="FK175" i="6"/>
  <c r="FP182" i="6"/>
  <c r="FP176" i="6"/>
  <c r="FP177" i="6"/>
  <c r="FP178" i="6"/>
  <c r="FP180" i="6"/>
  <c r="FP183" i="6"/>
  <c r="FP181" i="6"/>
  <c r="FP173" i="6"/>
  <c r="FP174" i="6"/>
  <c r="FP179" i="6"/>
  <c r="FP341" i="6"/>
  <c r="FP186" i="6"/>
  <c r="FP175" i="6"/>
  <c r="FP185" i="6"/>
  <c r="FP184" i="6"/>
  <c r="FV187" i="6"/>
  <c r="FV190" i="6"/>
  <c r="FV180" i="6"/>
  <c r="FV185" i="6"/>
  <c r="FV341" i="6"/>
  <c r="FV191" i="6"/>
  <c r="FV186" i="6"/>
  <c r="FV181" i="6"/>
  <c r="FV183" i="6"/>
  <c r="FV188" i="6"/>
  <c r="FV192" i="6"/>
  <c r="FV189" i="6"/>
  <c r="FV182" i="6"/>
  <c r="FV184" i="6"/>
  <c r="FV179" i="6"/>
  <c r="GA185" i="6"/>
  <c r="GA186" i="6"/>
  <c r="GA194" i="6"/>
  <c r="GA190" i="6"/>
  <c r="GA197" i="6"/>
  <c r="GA196" i="6"/>
  <c r="GA191" i="6"/>
  <c r="GA192" i="6"/>
  <c r="GA188" i="6"/>
  <c r="GA189" i="6"/>
  <c r="GA341" i="6"/>
  <c r="GA184" i="6"/>
  <c r="GA195" i="6"/>
  <c r="GA193" i="6"/>
  <c r="GA187" i="6"/>
  <c r="GF193" i="6"/>
  <c r="GF198" i="6"/>
  <c r="GF199" i="6"/>
  <c r="GF201" i="6"/>
  <c r="GF194" i="6"/>
  <c r="GF190" i="6"/>
  <c r="GF202" i="6"/>
  <c r="GF196" i="6"/>
  <c r="GF341" i="6"/>
  <c r="GF191" i="6"/>
  <c r="GF189" i="6"/>
  <c r="GF200" i="6"/>
  <c r="GF197" i="6"/>
  <c r="GF195" i="6"/>
  <c r="GF192" i="6"/>
  <c r="GL195" i="6"/>
  <c r="GL197" i="6"/>
  <c r="GL341" i="6"/>
  <c r="GL207" i="6"/>
  <c r="GL196" i="6"/>
  <c r="GL204" i="6"/>
  <c r="GL206" i="6"/>
  <c r="GL201" i="6"/>
  <c r="GL199" i="6"/>
  <c r="GL208" i="6"/>
  <c r="GL198" i="6"/>
  <c r="GL203" i="6"/>
  <c r="GL200" i="6"/>
  <c r="GL205" i="6"/>
  <c r="GL202" i="6"/>
  <c r="GQ208" i="6"/>
  <c r="GQ202" i="6"/>
  <c r="GQ211" i="6"/>
  <c r="GQ205" i="6"/>
  <c r="GQ210" i="6"/>
  <c r="GQ212" i="6"/>
  <c r="GQ207" i="6"/>
  <c r="GQ201" i="6"/>
  <c r="GQ209" i="6"/>
  <c r="GQ341" i="6"/>
  <c r="GQ204" i="6"/>
  <c r="GQ200" i="6"/>
  <c r="GQ213" i="6"/>
  <c r="GQ203" i="6"/>
  <c r="GQ206" i="6"/>
  <c r="GV208" i="6"/>
  <c r="GV212" i="6"/>
  <c r="GV218" i="6"/>
  <c r="GV209" i="6"/>
  <c r="GV205" i="6"/>
  <c r="GV216" i="6"/>
  <c r="GV214" i="6"/>
  <c r="GV217" i="6"/>
  <c r="GV207" i="6"/>
  <c r="GV341" i="6"/>
  <c r="GV215" i="6"/>
  <c r="GV213" i="6"/>
  <c r="GV211" i="6"/>
  <c r="GV206" i="6"/>
  <c r="GV210" i="6"/>
  <c r="HB214" i="6"/>
  <c r="HB222" i="6"/>
  <c r="HB211" i="6"/>
  <c r="HB215" i="6"/>
  <c r="HB216" i="6"/>
  <c r="HB221" i="6"/>
  <c r="HB220" i="6"/>
  <c r="HB217" i="6"/>
  <c r="HB212" i="6"/>
  <c r="HB224" i="6"/>
  <c r="HB223" i="6"/>
  <c r="HB219" i="6"/>
  <c r="HB341" i="6"/>
  <c r="HB213" i="6"/>
  <c r="HB218" i="6"/>
  <c r="HG217" i="6"/>
  <c r="HG216" i="6"/>
  <c r="HG227" i="6"/>
  <c r="HG341" i="6"/>
  <c r="HG229" i="6"/>
  <c r="HG222" i="6"/>
  <c r="HG226" i="6"/>
  <c r="HG218" i="6"/>
  <c r="HG224" i="6"/>
  <c r="HG223" i="6"/>
  <c r="HG225" i="6"/>
  <c r="HG219" i="6"/>
  <c r="HG221" i="6"/>
  <c r="HG228" i="6"/>
  <c r="HG220" i="6"/>
  <c r="HL234" i="6"/>
  <c r="HL341" i="6"/>
  <c r="HL226" i="6"/>
  <c r="HL225" i="6"/>
  <c r="HL227" i="6"/>
  <c r="HL232" i="6"/>
  <c r="HL228" i="6"/>
  <c r="HL230" i="6"/>
  <c r="HL229" i="6"/>
  <c r="HL222" i="6"/>
  <c r="HL223" i="6"/>
  <c r="HL221" i="6"/>
  <c r="HL233" i="6"/>
  <c r="HL224" i="6"/>
  <c r="HL231" i="6"/>
  <c r="HR229" i="6"/>
  <c r="HR235" i="6"/>
  <c r="HR341" i="6"/>
  <c r="HR231" i="6"/>
  <c r="HR239" i="6"/>
  <c r="HR236" i="6"/>
  <c r="HR237" i="6"/>
  <c r="HR234" i="6"/>
  <c r="HR240" i="6"/>
  <c r="HR227" i="6"/>
  <c r="HR238" i="6"/>
  <c r="HR228" i="6"/>
  <c r="HR233" i="6"/>
  <c r="HR232" i="6"/>
  <c r="HR230" i="6"/>
  <c r="HW243" i="6"/>
  <c r="HW235" i="6"/>
  <c r="HW341" i="6"/>
  <c r="HW244" i="6"/>
  <c r="HW238" i="6"/>
  <c r="HW241" i="6"/>
  <c r="HW245" i="6"/>
  <c r="HW232" i="6"/>
  <c r="HW236" i="6"/>
  <c r="HW234" i="6"/>
  <c r="HW239" i="6"/>
  <c r="HW240" i="6"/>
  <c r="HW242" i="6"/>
  <c r="HW237" i="6"/>
  <c r="HW233" i="6"/>
  <c r="IB249" i="6"/>
  <c r="IB238" i="6"/>
  <c r="IB243" i="6"/>
  <c r="IB241" i="6"/>
  <c r="IB242" i="6"/>
  <c r="IB239" i="6"/>
  <c r="IB245" i="6"/>
  <c r="IB246" i="6"/>
  <c r="IB341" i="6"/>
  <c r="IB240" i="6"/>
  <c r="IB244" i="6"/>
  <c r="IB237" i="6"/>
  <c r="IB250" i="6"/>
  <c r="IB247" i="6"/>
  <c r="IB248" i="6"/>
  <c r="IM257" i="6"/>
  <c r="IM249" i="6"/>
  <c r="IM259" i="6"/>
  <c r="IM251" i="6"/>
  <c r="IM260" i="6"/>
  <c r="IM250" i="6"/>
  <c r="IM255" i="6"/>
  <c r="IM253" i="6"/>
  <c r="IM341" i="6"/>
  <c r="IM261" i="6"/>
  <c r="IM248" i="6"/>
  <c r="IM254" i="6"/>
  <c r="IM252" i="6"/>
  <c r="IM256" i="6"/>
  <c r="IM258" i="6"/>
  <c r="JC268" i="6"/>
  <c r="JC275" i="6"/>
  <c r="JC269" i="6"/>
  <c r="JC270" i="6"/>
  <c r="JC272" i="6"/>
  <c r="JC277" i="6"/>
  <c r="JC341" i="6"/>
  <c r="JC276" i="6"/>
  <c r="JC264" i="6"/>
  <c r="JC274" i="6"/>
  <c r="JC273" i="6"/>
  <c r="JC266" i="6"/>
  <c r="JC267" i="6"/>
  <c r="JC271" i="6"/>
  <c r="JC265" i="6"/>
  <c r="KD304" i="6"/>
  <c r="KD300" i="6"/>
  <c r="KD294" i="6"/>
  <c r="KD303" i="6"/>
  <c r="KD296" i="6"/>
  <c r="KD298" i="6"/>
  <c r="KD292" i="6"/>
  <c r="KD297" i="6"/>
  <c r="KD299" i="6"/>
  <c r="KD302" i="6"/>
  <c r="KD341" i="6"/>
  <c r="KD295" i="6"/>
  <c r="KD301" i="6"/>
  <c r="KD291" i="6"/>
  <c r="KD293" i="6"/>
  <c r="KY320" i="6"/>
  <c r="KY325" i="6"/>
  <c r="KY315" i="6"/>
  <c r="KY317" i="6"/>
  <c r="KY319" i="6"/>
  <c r="KY341" i="6"/>
  <c r="KY312" i="6"/>
  <c r="KY321" i="6"/>
  <c r="KY323" i="6"/>
  <c r="KY318" i="6"/>
  <c r="KY316" i="6"/>
  <c r="KY322" i="6"/>
  <c r="KY324" i="6"/>
  <c r="KY314" i="6"/>
  <c r="KY313" i="6"/>
  <c r="R341" i="6"/>
  <c r="R31" i="6"/>
  <c r="R25" i="6"/>
  <c r="R23" i="6"/>
  <c r="R19" i="6"/>
  <c r="R30" i="6"/>
  <c r="R27" i="6"/>
  <c r="R29" i="6"/>
  <c r="R21" i="6"/>
  <c r="R32" i="6"/>
  <c r="R22" i="6"/>
  <c r="R26" i="6"/>
  <c r="R20" i="6"/>
  <c r="R28" i="6"/>
  <c r="R24" i="6"/>
  <c r="AH35" i="6"/>
  <c r="AH47" i="6"/>
  <c r="AH40" i="6"/>
  <c r="AH44" i="6"/>
  <c r="AH36" i="6"/>
  <c r="AH37" i="6"/>
  <c r="AH38" i="6"/>
  <c r="AH39" i="6"/>
  <c r="AH41" i="6"/>
  <c r="AH341" i="6"/>
  <c r="AH46" i="6"/>
  <c r="AH48" i="6"/>
  <c r="AH43" i="6"/>
  <c r="AH45" i="6"/>
  <c r="AH42" i="6"/>
  <c r="AX56" i="6"/>
  <c r="AX57" i="6"/>
  <c r="AX53" i="6"/>
  <c r="AX62" i="6"/>
  <c r="AX341" i="6"/>
  <c r="AX55" i="6"/>
  <c r="AX51" i="6"/>
  <c r="AX60" i="6"/>
  <c r="AX59" i="6"/>
  <c r="AX58" i="6"/>
  <c r="AX54" i="6"/>
  <c r="AX52" i="6"/>
  <c r="AX63" i="6"/>
  <c r="AX64" i="6"/>
  <c r="AX61" i="6"/>
  <c r="BN74" i="6"/>
  <c r="BN76" i="6"/>
  <c r="BN73" i="6"/>
  <c r="BN78" i="6"/>
  <c r="BN67" i="6"/>
  <c r="BN69" i="6"/>
  <c r="BN71" i="6"/>
  <c r="BN80" i="6"/>
  <c r="BN75" i="6"/>
  <c r="BN72" i="6"/>
  <c r="BN341" i="6"/>
  <c r="BN77" i="6"/>
  <c r="BN70" i="6"/>
  <c r="BN68" i="6"/>
  <c r="BN79" i="6"/>
  <c r="CD84" i="6"/>
  <c r="CD96" i="6"/>
  <c r="CD86" i="6"/>
  <c r="CD95" i="6"/>
  <c r="CD87" i="6"/>
  <c r="CD88" i="6"/>
  <c r="CD341" i="6"/>
  <c r="CD92" i="6"/>
  <c r="CD94" i="6"/>
  <c r="CD83" i="6"/>
  <c r="CD89" i="6"/>
  <c r="CD91" i="6"/>
  <c r="CD85" i="6"/>
  <c r="CD90" i="6"/>
  <c r="CD93" i="6"/>
  <c r="CT106" i="6"/>
  <c r="CT110" i="6"/>
  <c r="CT102" i="6"/>
  <c r="CT99" i="6"/>
  <c r="CT104" i="6"/>
  <c r="CT100" i="6"/>
  <c r="CT341" i="6"/>
  <c r="CT105" i="6"/>
  <c r="CT107" i="6"/>
  <c r="CT103" i="6"/>
  <c r="CT109" i="6"/>
  <c r="CT101" i="6"/>
  <c r="CT111" i="6"/>
  <c r="CT112" i="6"/>
  <c r="CT108" i="6"/>
  <c r="DJ127" i="6"/>
  <c r="DJ120" i="6"/>
  <c r="DJ123" i="6"/>
  <c r="DJ122" i="6"/>
  <c r="DJ118" i="6"/>
  <c r="DJ341" i="6"/>
  <c r="DJ126" i="6"/>
  <c r="DJ125" i="6"/>
  <c r="DJ128" i="6"/>
  <c r="DJ115" i="6"/>
  <c r="DJ121" i="6"/>
  <c r="DJ124" i="6"/>
  <c r="DJ116" i="6"/>
  <c r="DJ117" i="6"/>
  <c r="DJ119" i="6"/>
  <c r="DZ139" i="6"/>
  <c r="DZ137" i="6"/>
  <c r="DZ138" i="6"/>
  <c r="DZ142" i="6"/>
  <c r="DZ136" i="6"/>
  <c r="DZ132" i="6"/>
  <c r="DZ135" i="6"/>
  <c r="DZ140" i="6"/>
  <c r="DZ144" i="6"/>
  <c r="DZ143" i="6"/>
  <c r="DZ133" i="6"/>
  <c r="DZ341" i="6"/>
  <c r="DZ141" i="6"/>
  <c r="DZ131" i="6"/>
  <c r="DZ134" i="6"/>
  <c r="EJ144" i="6"/>
  <c r="EJ141" i="6"/>
  <c r="EJ154" i="6"/>
  <c r="EJ150" i="6"/>
  <c r="EJ148" i="6"/>
  <c r="EJ149" i="6"/>
  <c r="EJ147" i="6"/>
  <c r="EJ143" i="6"/>
  <c r="EJ153" i="6"/>
  <c r="EJ341" i="6"/>
  <c r="EJ145" i="6"/>
  <c r="EJ142" i="6"/>
  <c r="EJ152" i="6"/>
  <c r="EJ151" i="6"/>
  <c r="EJ146" i="6"/>
  <c r="ER158" i="6"/>
  <c r="ER159" i="6"/>
  <c r="ER152" i="6"/>
  <c r="ER341" i="6"/>
  <c r="ER160" i="6"/>
  <c r="ER149" i="6"/>
  <c r="ER161" i="6"/>
  <c r="ER153" i="6"/>
  <c r="ER156" i="6"/>
  <c r="ER151" i="6"/>
  <c r="ER162" i="6"/>
  <c r="ER150" i="6"/>
  <c r="ER155" i="6"/>
  <c r="ER154" i="6"/>
  <c r="ER157" i="6"/>
  <c r="EZ167" i="6"/>
  <c r="EZ157" i="6"/>
  <c r="EZ160" i="6"/>
  <c r="EZ165" i="6"/>
  <c r="EZ168" i="6"/>
  <c r="EZ169" i="6"/>
  <c r="EZ159" i="6"/>
  <c r="EZ162" i="6"/>
  <c r="EZ341" i="6"/>
  <c r="EZ170" i="6"/>
  <c r="EZ161" i="6"/>
  <c r="EZ166" i="6"/>
  <c r="EZ158" i="6"/>
  <c r="EZ163" i="6"/>
  <c r="EZ164" i="6"/>
  <c r="FG169" i="6"/>
  <c r="FG164" i="6"/>
  <c r="FG168" i="6"/>
  <c r="FG175" i="6"/>
  <c r="FG176" i="6"/>
  <c r="FG173" i="6"/>
  <c r="FG171" i="6"/>
  <c r="FG341" i="6"/>
  <c r="FG165" i="6"/>
  <c r="FG174" i="6"/>
  <c r="FG177" i="6"/>
  <c r="FG172" i="6"/>
  <c r="FG170" i="6"/>
  <c r="FG167" i="6"/>
  <c r="FG166" i="6"/>
  <c r="FL172" i="6"/>
  <c r="FL170" i="6"/>
  <c r="FL341" i="6"/>
  <c r="FL173" i="6"/>
  <c r="FL179" i="6"/>
  <c r="FL178" i="6"/>
  <c r="FL169" i="6"/>
  <c r="FL182" i="6"/>
  <c r="FL177" i="6"/>
  <c r="FL175" i="6"/>
  <c r="FL180" i="6"/>
  <c r="FL176" i="6"/>
  <c r="FL174" i="6"/>
  <c r="FL181" i="6"/>
  <c r="FL171" i="6"/>
  <c r="FR179" i="6"/>
  <c r="FR186" i="6"/>
  <c r="FR176" i="6"/>
  <c r="FR175" i="6"/>
  <c r="FR185" i="6"/>
  <c r="FR341" i="6"/>
  <c r="FR188" i="6"/>
  <c r="FR181" i="6"/>
  <c r="FR182" i="6"/>
  <c r="FR177" i="6"/>
  <c r="FR184" i="6"/>
  <c r="FR183" i="6"/>
  <c r="FR180" i="6"/>
  <c r="FR178" i="6"/>
  <c r="FR187" i="6"/>
  <c r="FW184" i="6"/>
  <c r="FW191" i="6"/>
  <c r="FW180" i="6"/>
  <c r="FW190" i="6"/>
  <c r="FW188" i="6"/>
  <c r="FW187" i="6"/>
  <c r="FW192" i="6"/>
  <c r="FW181" i="6"/>
  <c r="FW186" i="6"/>
  <c r="FW185" i="6"/>
  <c r="FW182" i="6"/>
  <c r="FW183" i="6"/>
  <c r="FW189" i="6"/>
  <c r="FW193" i="6"/>
  <c r="FW341" i="6"/>
  <c r="GB190" i="6"/>
  <c r="GB186" i="6"/>
  <c r="GB188" i="6"/>
  <c r="GB198" i="6"/>
  <c r="GB193" i="6"/>
  <c r="GB191" i="6"/>
  <c r="GB185" i="6"/>
  <c r="GB187" i="6"/>
  <c r="GB194" i="6"/>
  <c r="GB341" i="6"/>
  <c r="GB192" i="6"/>
  <c r="GB189" i="6"/>
  <c r="GB196" i="6"/>
  <c r="GB195" i="6"/>
  <c r="GB197" i="6"/>
  <c r="GH204" i="6"/>
  <c r="GH191" i="6"/>
  <c r="GH196" i="6"/>
  <c r="GH203" i="6"/>
  <c r="GH201" i="6"/>
  <c r="GH194" i="6"/>
  <c r="GH193" i="6"/>
  <c r="GH192" i="6"/>
  <c r="GH197" i="6"/>
  <c r="GH202" i="6"/>
  <c r="GH195" i="6"/>
  <c r="GH199" i="6"/>
  <c r="GH200" i="6"/>
  <c r="GH341" i="6"/>
  <c r="GH198" i="6"/>
  <c r="GM205" i="6"/>
  <c r="GM202" i="6"/>
  <c r="GM201" i="6"/>
  <c r="GM209" i="6"/>
  <c r="GM207" i="6"/>
  <c r="GM204" i="6"/>
  <c r="GM206" i="6"/>
  <c r="GM200" i="6"/>
  <c r="GM203" i="6"/>
  <c r="GM196" i="6"/>
  <c r="GM198" i="6"/>
  <c r="GM197" i="6"/>
  <c r="GM199" i="6"/>
  <c r="GM208" i="6"/>
  <c r="GM341" i="6"/>
  <c r="GR208" i="6"/>
  <c r="GR212" i="6"/>
  <c r="GR214" i="6"/>
  <c r="GR341" i="6"/>
  <c r="GR206" i="6"/>
  <c r="GR207" i="6"/>
  <c r="GR209" i="6"/>
  <c r="GR203" i="6"/>
  <c r="GR211" i="6"/>
  <c r="GR204" i="6"/>
  <c r="GR210" i="6"/>
  <c r="GR205" i="6"/>
  <c r="GR202" i="6"/>
  <c r="GR201" i="6"/>
  <c r="GR213" i="6"/>
  <c r="GX211" i="6"/>
  <c r="GX207" i="6"/>
  <c r="GX217" i="6"/>
  <c r="GX219" i="6"/>
  <c r="GX214" i="6"/>
  <c r="GX210" i="6"/>
  <c r="GX220" i="6"/>
  <c r="GX341" i="6"/>
  <c r="GX215" i="6"/>
  <c r="GX213" i="6"/>
  <c r="GX209" i="6"/>
  <c r="GX208" i="6"/>
  <c r="GX216" i="6"/>
  <c r="GX212" i="6"/>
  <c r="GX218" i="6"/>
  <c r="HC217" i="6"/>
  <c r="HC212" i="6"/>
  <c r="HC225" i="6"/>
  <c r="HC219" i="6"/>
  <c r="HC213" i="6"/>
  <c r="HC221" i="6"/>
  <c r="HC216" i="6"/>
  <c r="HC222" i="6"/>
  <c r="HC223" i="6"/>
  <c r="HC341" i="6"/>
  <c r="HC224" i="6"/>
  <c r="HC218" i="6"/>
  <c r="HC220" i="6"/>
  <c r="HC215" i="6"/>
  <c r="HC214" i="6"/>
  <c r="HH218" i="6"/>
  <c r="HH225" i="6"/>
  <c r="HH221" i="6"/>
  <c r="HH217" i="6"/>
  <c r="HH229" i="6"/>
  <c r="HH219" i="6"/>
  <c r="HH230" i="6"/>
  <c r="HH226" i="6"/>
  <c r="HH224" i="6"/>
  <c r="HH227" i="6"/>
  <c r="HH220" i="6"/>
  <c r="HH223" i="6"/>
  <c r="HH222" i="6"/>
  <c r="HH341" i="6"/>
  <c r="HH228" i="6"/>
  <c r="HN230" i="6"/>
  <c r="HN228" i="6"/>
  <c r="HN235" i="6"/>
  <c r="HN224" i="6"/>
  <c r="HN223" i="6"/>
  <c r="HN236" i="6"/>
  <c r="HN232" i="6"/>
  <c r="HN229" i="6"/>
  <c r="HN227" i="6"/>
  <c r="HN341" i="6"/>
  <c r="HN225" i="6"/>
  <c r="HN231" i="6"/>
  <c r="HN234" i="6"/>
  <c r="HN233" i="6"/>
  <c r="HN226" i="6"/>
  <c r="HS231" i="6"/>
  <c r="HS240" i="6"/>
  <c r="HS233" i="6"/>
  <c r="HS341" i="6"/>
  <c r="HS239" i="6"/>
  <c r="HS228" i="6"/>
  <c r="HS241" i="6"/>
  <c r="HS238" i="6"/>
  <c r="HS235" i="6"/>
  <c r="HS237" i="6"/>
  <c r="HS234" i="6"/>
  <c r="HS236" i="6"/>
  <c r="HS232" i="6"/>
  <c r="HS230" i="6"/>
  <c r="HS229" i="6"/>
  <c r="HX245" i="6"/>
  <c r="HX236" i="6"/>
  <c r="HX238" i="6"/>
  <c r="HX341" i="6"/>
  <c r="HX240" i="6"/>
  <c r="HX239" i="6"/>
  <c r="HX237" i="6"/>
  <c r="HX234" i="6"/>
  <c r="HX235" i="6"/>
  <c r="HX246" i="6"/>
  <c r="HX242" i="6"/>
  <c r="HX241" i="6"/>
  <c r="HX244" i="6"/>
  <c r="HX243" i="6"/>
  <c r="HX233" i="6"/>
  <c r="ID248" i="6"/>
  <c r="ID239" i="6"/>
  <c r="ID250" i="6"/>
  <c r="ID243" i="6"/>
  <c r="ID240" i="6"/>
  <c r="ID246" i="6"/>
  <c r="ID245" i="6"/>
  <c r="ID252" i="6"/>
  <c r="ID242" i="6"/>
  <c r="ID251" i="6"/>
  <c r="ID247" i="6"/>
  <c r="ID341" i="6"/>
  <c r="ID241" i="6"/>
  <c r="ID244" i="6"/>
  <c r="ID249" i="6"/>
  <c r="II244" i="6"/>
  <c r="II253" i="6"/>
  <c r="II248" i="6"/>
  <c r="II245" i="6"/>
  <c r="II257" i="6"/>
  <c r="II250" i="6"/>
  <c r="II252" i="6"/>
  <c r="II251" i="6"/>
  <c r="II247" i="6"/>
  <c r="II341" i="6"/>
  <c r="II254" i="6"/>
  <c r="II249" i="6"/>
  <c r="II256" i="6"/>
  <c r="II246" i="6"/>
  <c r="II255" i="6"/>
  <c r="IN251" i="6"/>
  <c r="IN257" i="6"/>
  <c r="IN261" i="6"/>
  <c r="IN258" i="6"/>
  <c r="IN250" i="6"/>
  <c r="IN260" i="6"/>
  <c r="IN259" i="6"/>
  <c r="IN249" i="6"/>
  <c r="IN254" i="6"/>
  <c r="IN256" i="6"/>
  <c r="IN255" i="6"/>
  <c r="IN252" i="6"/>
  <c r="IN341" i="6"/>
  <c r="IN253" i="6"/>
  <c r="IN262" i="6"/>
  <c r="IT261" i="6"/>
  <c r="IT267" i="6"/>
  <c r="IT255" i="6"/>
  <c r="IT260" i="6"/>
  <c r="IT263" i="6"/>
  <c r="IT341" i="6"/>
  <c r="IT265" i="6"/>
  <c r="IT264" i="6"/>
  <c r="IT257" i="6"/>
  <c r="IT262" i="6"/>
  <c r="IT268" i="6"/>
  <c r="IT258" i="6"/>
  <c r="IT259" i="6"/>
  <c r="IT256" i="6"/>
  <c r="IT266" i="6"/>
  <c r="IY265" i="6"/>
  <c r="IY341" i="6"/>
  <c r="IY272" i="6"/>
  <c r="IY269" i="6"/>
  <c r="IY270" i="6"/>
  <c r="IY260" i="6"/>
  <c r="IY264" i="6"/>
  <c r="IY273" i="6"/>
  <c r="IY261" i="6"/>
  <c r="IY271" i="6"/>
  <c r="IY268" i="6"/>
  <c r="IY266" i="6"/>
  <c r="IY262" i="6"/>
  <c r="IY263" i="6"/>
  <c r="IY267" i="6"/>
  <c r="JD273" i="6"/>
  <c r="JD265" i="6"/>
  <c r="JD278" i="6"/>
  <c r="JD269" i="6"/>
  <c r="JD276" i="6"/>
  <c r="JD341" i="6"/>
  <c r="JD267" i="6"/>
  <c r="JD272" i="6"/>
  <c r="JD271" i="6"/>
  <c r="JD270" i="6"/>
  <c r="JD277" i="6"/>
  <c r="JD266" i="6"/>
  <c r="JD268" i="6"/>
  <c r="JD275" i="6"/>
  <c r="JD274" i="6"/>
  <c r="JJ277" i="6"/>
  <c r="JJ273" i="6"/>
  <c r="JJ281" i="6"/>
  <c r="JJ271" i="6"/>
  <c r="JJ274" i="6"/>
  <c r="JJ283" i="6"/>
  <c r="JJ341" i="6"/>
  <c r="JJ282" i="6"/>
  <c r="JJ284" i="6"/>
  <c r="JJ275" i="6"/>
  <c r="JJ280" i="6"/>
  <c r="JJ276" i="6"/>
  <c r="JJ272" i="6"/>
  <c r="JJ279" i="6"/>
  <c r="JJ278" i="6"/>
  <c r="JO289" i="6"/>
  <c r="JO277" i="6"/>
  <c r="JO285" i="6"/>
  <c r="JO283" i="6"/>
  <c r="JO276" i="6"/>
  <c r="JO341" i="6"/>
  <c r="JO280" i="6"/>
  <c r="JO278" i="6"/>
  <c r="JO284" i="6"/>
  <c r="JO282" i="6"/>
  <c r="JO286" i="6"/>
  <c r="JO281" i="6"/>
  <c r="JO279" i="6"/>
  <c r="JO288" i="6"/>
  <c r="JO287" i="6"/>
  <c r="JT288" i="6"/>
  <c r="JT290" i="6"/>
  <c r="JT341" i="6"/>
  <c r="JT287" i="6"/>
  <c r="JT285" i="6"/>
  <c r="JT294" i="6"/>
  <c r="JT281" i="6"/>
  <c r="JT283" i="6"/>
  <c r="JT289" i="6"/>
  <c r="JT282" i="6"/>
  <c r="JT286" i="6"/>
  <c r="JT291" i="6"/>
  <c r="JT293" i="6"/>
  <c r="JT284" i="6"/>
  <c r="JT292" i="6"/>
  <c r="JZ287" i="6"/>
  <c r="JZ290" i="6"/>
  <c r="JZ289" i="6"/>
  <c r="JZ296" i="6"/>
  <c r="JZ297" i="6"/>
  <c r="JZ293" i="6"/>
  <c r="JZ294" i="6"/>
  <c r="JZ292" i="6"/>
  <c r="JZ291" i="6"/>
  <c r="JZ300" i="6"/>
  <c r="JZ295" i="6"/>
  <c r="JZ299" i="6"/>
  <c r="JZ288" i="6"/>
  <c r="JZ341" i="6"/>
  <c r="JZ298" i="6"/>
  <c r="KE302" i="6"/>
  <c r="KE298" i="6"/>
  <c r="KE300" i="6"/>
  <c r="KE297" i="6"/>
  <c r="KE341" i="6"/>
  <c r="KE299" i="6"/>
  <c r="KE303" i="6"/>
  <c r="KE292" i="6"/>
  <c r="KE301" i="6"/>
  <c r="KE304" i="6"/>
  <c r="KE295" i="6"/>
  <c r="KE305" i="6"/>
  <c r="KE296" i="6"/>
  <c r="KE293" i="6"/>
  <c r="KE294" i="6"/>
  <c r="KJ305" i="6"/>
  <c r="KJ301" i="6"/>
  <c r="KJ307" i="6"/>
  <c r="KJ299" i="6"/>
  <c r="KJ303" i="6"/>
  <c r="KJ304" i="6"/>
  <c r="KJ341" i="6"/>
  <c r="KJ297" i="6"/>
  <c r="KJ302" i="6"/>
  <c r="KJ300" i="6"/>
  <c r="KJ309" i="6"/>
  <c r="KJ308" i="6"/>
  <c r="KJ306" i="6"/>
  <c r="KJ310" i="6"/>
  <c r="KJ298" i="6"/>
  <c r="KP305" i="6"/>
  <c r="KP306" i="6"/>
  <c r="KP309" i="6"/>
  <c r="KP303" i="6"/>
  <c r="KP315" i="6"/>
  <c r="KP313" i="6"/>
  <c r="KP308" i="6"/>
  <c r="KP307" i="6"/>
  <c r="KP316" i="6"/>
  <c r="KP341" i="6"/>
  <c r="KP314" i="6"/>
  <c r="KP310" i="6"/>
  <c r="KP312" i="6"/>
  <c r="KP304" i="6"/>
  <c r="KP311" i="6"/>
  <c r="KU315" i="6"/>
  <c r="KU317" i="6"/>
  <c r="KU309" i="6"/>
  <c r="KU321" i="6"/>
  <c r="KU310" i="6"/>
  <c r="KU318" i="6"/>
  <c r="KU313" i="6"/>
  <c r="KU341" i="6"/>
  <c r="KU320" i="6"/>
  <c r="KU314" i="6"/>
  <c r="KU316" i="6"/>
  <c r="KU312" i="6"/>
  <c r="KU319" i="6"/>
  <c r="KU308" i="6"/>
  <c r="KU311" i="6"/>
  <c r="KZ313" i="6"/>
  <c r="KZ318" i="6"/>
  <c r="KZ341" i="6"/>
  <c r="KZ325" i="6"/>
  <c r="KZ324" i="6"/>
  <c r="KZ320" i="6"/>
  <c r="KZ322" i="6"/>
  <c r="KZ326" i="6"/>
  <c r="KZ319" i="6"/>
  <c r="KZ323" i="6"/>
  <c r="KZ321" i="6"/>
  <c r="KZ316" i="6"/>
  <c r="KZ314" i="6"/>
  <c r="KZ317" i="6"/>
  <c r="KZ315" i="6"/>
  <c r="LF319" i="6"/>
  <c r="LF322" i="6"/>
  <c r="LF330" i="6"/>
  <c r="LF323" i="6"/>
  <c r="LF331" i="6"/>
  <c r="LF325" i="6"/>
  <c r="LF332" i="6"/>
  <c r="LF321" i="6"/>
  <c r="LF326" i="6"/>
  <c r="LF328" i="6"/>
  <c r="LF324" i="6"/>
  <c r="LF341" i="6"/>
  <c r="LF320" i="6"/>
  <c r="LF329" i="6"/>
  <c r="LF327" i="6"/>
  <c r="LK329" i="6"/>
  <c r="LK335" i="6"/>
  <c r="LK326" i="6"/>
  <c r="LK327" i="6"/>
  <c r="LK341" i="6"/>
  <c r="LK324" i="6"/>
  <c r="LK332" i="6"/>
  <c r="LK333" i="6"/>
  <c r="LK334" i="6"/>
  <c r="LK325" i="6"/>
  <c r="LK336" i="6"/>
  <c r="LK330" i="6"/>
  <c r="LK323" i="6"/>
  <c r="LK328" i="6"/>
  <c r="LK331" i="6"/>
  <c r="LK337" i="6"/>
  <c r="LP7" i="6"/>
  <c r="LP4" i="6"/>
  <c r="LP335" i="6"/>
  <c r="LP334" i="6"/>
  <c r="LP331" i="6"/>
  <c r="LP337" i="6"/>
  <c r="LP6" i="6"/>
  <c r="LP328" i="6"/>
  <c r="LP333" i="6"/>
  <c r="LP329" i="6"/>
  <c r="LP341" i="6"/>
  <c r="LP330" i="6"/>
  <c r="LP336" i="6"/>
  <c r="LP5" i="6"/>
  <c r="LP332" i="6"/>
  <c r="LP3" i="6"/>
  <c r="LV11" i="6"/>
  <c r="LV12" i="6"/>
  <c r="LV337" i="6"/>
  <c r="LV10" i="6"/>
  <c r="LV334" i="6"/>
  <c r="LV8" i="6"/>
  <c r="LV13" i="6"/>
  <c r="LV5" i="6"/>
  <c r="LV335" i="6"/>
  <c r="LV336" i="6"/>
  <c r="LV9" i="6"/>
  <c r="LV3" i="6"/>
  <c r="LV6" i="6"/>
  <c r="LV4" i="6"/>
  <c r="LV7" i="6"/>
  <c r="LV341" i="6"/>
  <c r="V30" i="6"/>
  <c r="V341" i="6"/>
  <c r="V24" i="6"/>
  <c r="V31" i="6"/>
  <c r="V36" i="6"/>
  <c r="V26" i="6"/>
  <c r="V28" i="6"/>
  <c r="V23" i="6"/>
  <c r="V25" i="6"/>
  <c r="V27" i="6"/>
  <c r="V32" i="6"/>
  <c r="V34" i="6"/>
  <c r="V35" i="6"/>
  <c r="V29" i="6"/>
  <c r="V33" i="6"/>
  <c r="AL50" i="6"/>
  <c r="AL49" i="6"/>
  <c r="AL48" i="6"/>
  <c r="AL46" i="6"/>
  <c r="AL39" i="6"/>
  <c r="AL43" i="6"/>
  <c r="AL40" i="6"/>
  <c r="AL41" i="6"/>
  <c r="AL44" i="6"/>
  <c r="AL52" i="6"/>
  <c r="AL42" i="6"/>
  <c r="AL45" i="6"/>
  <c r="AL51" i="6"/>
  <c r="AL341" i="6"/>
  <c r="AL47" i="6"/>
  <c r="BB57" i="6"/>
  <c r="BB62" i="6"/>
  <c r="BB68" i="6"/>
  <c r="BB60" i="6"/>
  <c r="BB55" i="6"/>
  <c r="BB67" i="6"/>
  <c r="BB61" i="6"/>
  <c r="BB66" i="6"/>
  <c r="BB58" i="6"/>
  <c r="BB65" i="6"/>
  <c r="BB63" i="6"/>
  <c r="BB341" i="6"/>
  <c r="BB56" i="6"/>
  <c r="BB59" i="6"/>
  <c r="BB64" i="6"/>
  <c r="BR83" i="6"/>
  <c r="BR82" i="6"/>
  <c r="BR73" i="6"/>
  <c r="BR78" i="6"/>
  <c r="BR341" i="6"/>
  <c r="BR80" i="6"/>
  <c r="BR84" i="6"/>
  <c r="BR77" i="6"/>
  <c r="BR79" i="6"/>
  <c r="BR76" i="6"/>
  <c r="BR81" i="6"/>
  <c r="BR72" i="6"/>
  <c r="BR74" i="6"/>
  <c r="BR71" i="6"/>
  <c r="BR75" i="6"/>
  <c r="CH91" i="6"/>
  <c r="CH93" i="6"/>
  <c r="CH87" i="6"/>
  <c r="CH90" i="6"/>
  <c r="CH89" i="6"/>
  <c r="CH96" i="6"/>
  <c r="CH100" i="6"/>
  <c r="CH98" i="6"/>
  <c r="CH99" i="6"/>
  <c r="CH95" i="6"/>
  <c r="CH341" i="6"/>
  <c r="CH97" i="6"/>
  <c r="CH94" i="6"/>
  <c r="CH92" i="6"/>
  <c r="CH88" i="6"/>
  <c r="CX110" i="6"/>
  <c r="CX107" i="6"/>
  <c r="CX113" i="6"/>
  <c r="CX111" i="6"/>
  <c r="CX109" i="6"/>
  <c r="CX103" i="6"/>
  <c r="CX114" i="6"/>
  <c r="CX108" i="6"/>
  <c r="CX115" i="6"/>
  <c r="CX104" i="6"/>
  <c r="CX105" i="6"/>
  <c r="CX106" i="6"/>
  <c r="CX341" i="6"/>
  <c r="CX116" i="6"/>
  <c r="CX112" i="6"/>
  <c r="DN125" i="6"/>
  <c r="DN122" i="6"/>
  <c r="DN341" i="6"/>
  <c r="DN131" i="6"/>
  <c r="DN119" i="6"/>
  <c r="DN129" i="6"/>
  <c r="DN127" i="6"/>
  <c r="DN120" i="6"/>
  <c r="DN124" i="6"/>
  <c r="DN132" i="6"/>
  <c r="DN123" i="6"/>
  <c r="DN121" i="6"/>
  <c r="DN130" i="6"/>
  <c r="DN128" i="6"/>
  <c r="DN126" i="6"/>
  <c r="ED148" i="6"/>
  <c r="ED145" i="6"/>
  <c r="ED147" i="6"/>
  <c r="ED142" i="6"/>
  <c r="ED141" i="6"/>
  <c r="ED140" i="6"/>
  <c r="ED138" i="6"/>
  <c r="ED143" i="6"/>
  <c r="ED146" i="6"/>
  <c r="ED136" i="6"/>
  <c r="ED135" i="6"/>
  <c r="ED139" i="6"/>
  <c r="ED137" i="6"/>
  <c r="ED144" i="6"/>
  <c r="ED341" i="6"/>
  <c r="EL154" i="6"/>
  <c r="EL150" i="6"/>
  <c r="EL147" i="6"/>
  <c r="EL143" i="6"/>
  <c r="EL149" i="6"/>
  <c r="EL153" i="6"/>
  <c r="EL155" i="6"/>
  <c r="EL145" i="6"/>
  <c r="EL341" i="6"/>
  <c r="EL148" i="6"/>
  <c r="EL156" i="6"/>
  <c r="EL152" i="6"/>
  <c r="EL151" i="6"/>
  <c r="EL144" i="6"/>
  <c r="EL146" i="6"/>
  <c r="ET162" i="6"/>
  <c r="ET158" i="6"/>
  <c r="ET155" i="6"/>
  <c r="ET154" i="6"/>
  <c r="ET161" i="6"/>
  <c r="ET341" i="6"/>
  <c r="ET164" i="6"/>
  <c r="ET157" i="6"/>
  <c r="ET152" i="6"/>
  <c r="ET160" i="6"/>
  <c r="ET153" i="6"/>
  <c r="ET163" i="6"/>
  <c r="ET159" i="6"/>
  <c r="ET156" i="6"/>
  <c r="ET151" i="6"/>
  <c r="FB166" i="6"/>
  <c r="FB161" i="6"/>
  <c r="FB171" i="6"/>
  <c r="FB160" i="6"/>
  <c r="FB162" i="6"/>
  <c r="FB170" i="6"/>
  <c r="FB164" i="6"/>
  <c r="FB167" i="6"/>
  <c r="FB172" i="6"/>
  <c r="FB341" i="6"/>
  <c r="FB165" i="6"/>
  <c r="FB159" i="6"/>
  <c r="FB168" i="6"/>
  <c r="FB163" i="6"/>
  <c r="FB169" i="6"/>
  <c r="FH174" i="6"/>
  <c r="FH167" i="6"/>
  <c r="FH178" i="6"/>
  <c r="FH173" i="6"/>
  <c r="FH168" i="6"/>
  <c r="FH169" i="6"/>
  <c r="FH175" i="6"/>
  <c r="FH171" i="6"/>
  <c r="FH165" i="6"/>
  <c r="FH170" i="6"/>
  <c r="FH166" i="6"/>
  <c r="FH176" i="6"/>
  <c r="FH341" i="6"/>
  <c r="FH172" i="6"/>
  <c r="FH177" i="6"/>
  <c r="FN177" i="6"/>
  <c r="FN175" i="6"/>
  <c r="FN183" i="6"/>
  <c r="FN181" i="6"/>
  <c r="FN182" i="6"/>
  <c r="FN176" i="6"/>
  <c r="FN180" i="6"/>
  <c r="FN171" i="6"/>
  <c r="FN178" i="6"/>
  <c r="FN173" i="6"/>
  <c r="FN341" i="6"/>
  <c r="FN172" i="6"/>
  <c r="FN179" i="6"/>
  <c r="FN184" i="6"/>
  <c r="FN174" i="6"/>
  <c r="FS189" i="6"/>
  <c r="FS184" i="6"/>
  <c r="FS186" i="6"/>
  <c r="FS177" i="6"/>
  <c r="FS182" i="6"/>
  <c r="FS188" i="6"/>
  <c r="FS183" i="6"/>
  <c r="FS180" i="6"/>
  <c r="FS178" i="6"/>
  <c r="FS187" i="6"/>
  <c r="FS341" i="6"/>
  <c r="FS179" i="6"/>
  <c r="FS176" i="6"/>
  <c r="FS181" i="6"/>
  <c r="FS185" i="6"/>
  <c r="FX188" i="6"/>
  <c r="FX194" i="6"/>
  <c r="FX187" i="6"/>
  <c r="FX341" i="6"/>
  <c r="FX183" i="6"/>
  <c r="FX190" i="6"/>
  <c r="FX181" i="6"/>
  <c r="FX191" i="6"/>
  <c r="FX193" i="6"/>
  <c r="FX184" i="6"/>
  <c r="FX192" i="6"/>
  <c r="FX186" i="6"/>
  <c r="FX182" i="6"/>
  <c r="FX185" i="6"/>
  <c r="FX189" i="6"/>
  <c r="GD187" i="6"/>
  <c r="GD193" i="6"/>
  <c r="GD195" i="6"/>
  <c r="GD196" i="6"/>
  <c r="GD191" i="6"/>
  <c r="GD199" i="6"/>
  <c r="GD189" i="6"/>
  <c r="GD188" i="6"/>
  <c r="GD200" i="6"/>
  <c r="GD192" i="6"/>
  <c r="GD197" i="6"/>
  <c r="GD341" i="6"/>
  <c r="GD190" i="6"/>
  <c r="GD194" i="6"/>
  <c r="GD198" i="6"/>
  <c r="GI204" i="6"/>
  <c r="GI205" i="6"/>
  <c r="GI196" i="6"/>
  <c r="GI199" i="6"/>
  <c r="GI197" i="6"/>
  <c r="GI195" i="6"/>
  <c r="GI200" i="6"/>
  <c r="GI341" i="6"/>
  <c r="GI198" i="6"/>
  <c r="GI201" i="6"/>
  <c r="GI202" i="6"/>
  <c r="GI193" i="6"/>
  <c r="GI203" i="6"/>
  <c r="GI192" i="6"/>
  <c r="GI194" i="6"/>
  <c r="GN341" i="6"/>
  <c r="GN202" i="6"/>
  <c r="GN199" i="6"/>
  <c r="GN206" i="6"/>
  <c r="GN203" i="6"/>
  <c r="GN207" i="6"/>
  <c r="GN205" i="6"/>
  <c r="GN209" i="6"/>
  <c r="GN198" i="6"/>
  <c r="GN208" i="6"/>
  <c r="GN201" i="6"/>
  <c r="GN197" i="6"/>
  <c r="GN200" i="6"/>
  <c r="GN204" i="6"/>
  <c r="GN210" i="6"/>
  <c r="GT215" i="6"/>
  <c r="GT212" i="6"/>
  <c r="GT341" i="6"/>
  <c r="GT210" i="6"/>
  <c r="GT203" i="6"/>
  <c r="GT208" i="6"/>
  <c r="GT206" i="6"/>
  <c r="GT214" i="6"/>
  <c r="GT213" i="6"/>
  <c r="GT207" i="6"/>
  <c r="GT205" i="6"/>
  <c r="GT211" i="6"/>
  <c r="GT204" i="6"/>
  <c r="GT216" i="6"/>
  <c r="GT209" i="6"/>
  <c r="GY221" i="6"/>
  <c r="GY214" i="6"/>
  <c r="GY209" i="6"/>
  <c r="GY218" i="6"/>
  <c r="GY211" i="6"/>
  <c r="GY208" i="6"/>
  <c r="GY220" i="6"/>
  <c r="GY216" i="6"/>
  <c r="GY341" i="6"/>
  <c r="GY213" i="6"/>
  <c r="GY212" i="6"/>
  <c r="GY219" i="6"/>
  <c r="GY215" i="6"/>
  <c r="GY210" i="6"/>
  <c r="GY217" i="6"/>
  <c r="HD224" i="6"/>
  <c r="HD226" i="6"/>
  <c r="HD214" i="6"/>
  <c r="HD220" i="6"/>
  <c r="HD216" i="6"/>
  <c r="HD215" i="6"/>
  <c r="HD218" i="6"/>
  <c r="HD222" i="6"/>
  <c r="HD223" i="6"/>
  <c r="HD221" i="6"/>
  <c r="HD225" i="6"/>
  <c r="HD341" i="6"/>
  <c r="HD213" i="6"/>
  <c r="HD219" i="6"/>
  <c r="HD217" i="6"/>
  <c r="HJ230" i="6"/>
  <c r="HJ219" i="6"/>
  <c r="HJ223" i="6"/>
  <c r="HJ228" i="6"/>
  <c r="HJ226" i="6"/>
  <c r="HJ220" i="6"/>
  <c r="HJ229" i="6"/>
  <c r="HJ227" i="6"/>
  <c r="HJ341" i="6"/>
  <c r="HJ222" i="6"/>
  <c r="HJ221" i="6"/>
  <c r="HJ231" i="6"/>
  <c r="HJ225" i="6"/>
  <c r="HJ224" i="6"/>
  <c r="HJ232" i="6"/>
  <c r="HO227" i="6"/>
  <c r="HO232" i="6"/>
  <c r="HO224" i="6"/>
  <c r="HO234" i="6"/>
  <c r="HO341" i="6"/>
  <c r="HO225" i="6"/>
  <c r="HO228" i="6"/>
  <c r="HO226" i="6"/>
  <c r="HO229" i="6"/>
  <c r="HO231" i="6"/>
  <c r="HO237" i="6"/>
  <c r="HO235" i="6"/>
  <c r="HO236" i="6"/>
  <c r="HO230" i="6"/>
  <c r="HO233" i="6"/>
  <c r="HT237" i="6"/>
  <c r="HT235" i="6"/>
  <c r="HT240" i="6"/>
  <c r="HT242" i="6"/>
  <c r="HT231" i="6"/>
  <c r="HT229" i="6"/>
  <c r="HT241" i="6"/>
  <c r="HT341" i="6"/>
  <c r="HT234" i="6"/>
  <c r="HT236" i="6"/>
  <c r="HT233" i="6"/>
  <c r="HT238" i="6"/>
  <c r="HT239" i="6"/>
  <c r="HT232" i="6"/>
  <c r="HT230" i="6"/>
  <c r="HZ247" i="6"/>
  <c r="HZ244" i="6"/>
  <c r="HZ245" i="6"/>
  <c r="HZ237" i="6"/>
  <c r="HZ248" i="6"/>
  <c r="HZ242" i="6"/>
  <c r="HZ241" i="6"/>
  <c r="HZ238" i="6"/>
  <c r="HZ341" i="6"/>
  <c r="HZ246" i="6"/>
  <c r="HZ235" i="6"/>
  <c r="HZ239" i="6"/>
  <c r="HZ236" i="6"/>
  <c r="HZ243" i="6"/>
  <c r="HZ240" i="6"/>
  <c r="IE250" i="6"/>
  <c r="IE245" i="6"/>
  <c r="IE341" i="6"/>
  <c r="IE242" i="6"/>
  <c r="IE253" i="6"/>
  <c r="IE249" i="6"/>
  <c r="IE251" i="6"/>
  <c r="IE241" i="6"/>
  <c r="IE246" i="6"/>
  <c r="IE252" i="6"/>
  <c r="IE244" i="6"/>
  <c r="IE240" i="6"/>
  <c r="IE247" i="6"/>
  <c r="IE248" i="6"/>
  <c r="IE243" i="6"/>
  <c r="IJ250" i="6"/>
  <c r="IJ255" i="6"/>
  <c r="IJ249" i="6"/>
  <c r="IJ251" i="6"/>
  <c r="IJ252" i="6"/>
  <c r="IJ246" i="6"/>
  <c r="IJ245" i="6"/>
  <c r="IJ341" i="6"/>
  <c r="IJ248" i="6"/>
  <c r="IJ253" i="6"/>
  <c r="IJ258" i="6"/>
  <c r="IJ247" i="6"/>
  <c r="IJ257" i="6"/>
  <c r="IJ256" i="6"/>
  <c r="IJ254" i="6"/>
  <c r="IP252" i="6"/>
  <c r="IP254" i="6"/>
  <c r="IP258" i="6"/>
  <c r="IP260" i="6"/>
  <c r="IP257" i="6"/>
  <c r="IP264" i="6"/>
  <c r="IP259" i="6"/>
  <c r="IP251" i="6"/>
  <c r="IP255" i="6"/>
  <c r="IP261" i="6"/>
  <c r="IP263" i="6"/>
  <c r="IP256" i="6"/>
  <c r="IP253" i="6"/>
  <c r="IP262" i="6"/>
  <c r="IP341" i="6"/>
  <c r="IU256" i="6"/>
  <c r="IU262" i="6"/>
  <c r="IU261" i="6"/>
  <c r="IU341" i="6"/>
  <c r="IU266" i="6"/>
  <c r="IU268" i="6"/>
  <c r="IU259" i="6"/>
  <c r="IU264" i="6"/>
  <c r="IU267" i="6"/>
  <c r="IU260" i="6"/>
  <c r="IU269" i="6"/>
  <c r="IU257" i="6"/>
  <c r="IU258" i="6"/>
  <c r="IU265" i="6"/>
  <c r="IU263" i="6"/>
  <c r="IZ271" i="6"/>
  <c r="IZ272" i="6"/>
  <c r="IZ267" i="6"/>
  <c r="IZ264" i="6"/>
  <c r="IZ269" i="6"/>
  <c r="IZ265" i="6"/>
  <c r="IZ273" i="6"/>
  <c r="IZ274" i="6"/>
  <c r="IZ270" i="6"/>
  <c r="IZ262" i="6"/>
  <c r="IZ268" i="6"/>
  <c r="IZ261" i="6"/>
  <c r="IZ341" i="6"/>
  <c r="IZ263" i="6"/>
  <c r="IZ266" i="6"/>
  <c r="JF272" i="6"/>
  <c r="JF271" i="6"/>
  <c r="JF341" i="6"/>
  <c r="JF278" i="6"/>
  <c r="JF267" i="6"/>
  <c r="JF274" i="6"/>
  <c r="JF273" i="6"/>
  <c r="JF275" i="6"/>
  <c r="JF270" i="6"/>
  <c r="JF277" i="6"/>
  <c r="JF268" i="6"/>
  <c r="JF279" i="6"/>
  <c r="JF269" i="6"/>
  <c r="JF276" i="6"/>
  <c r="JF280" i="6"/>
  <c r="JK279" i="6"/>
  <c r="JK277" i="6"/>
  <c r="JK284" i="6"/>
  <c r="JK341" i="6"/>
  <c r="JK272" i="6"/>
  <c r="JK283" i="6"/>
  <c r="JK274" i="6"/>
  <c r="JK281" i="6"/>
  <c r="JK285" i="6"/>
  <c r="JK278" i="6"/>
  <c r="JK276" i="6"/>
  <c r="JK273" i="6"/>
  <c r="JK280" i="6"/>
  <c r="JK275" i="6"/>
  <c r="JK282" i="6"/>
  <c r="JP278" i="6"/>
  <c r="JP279" i="6"/>
  <c r="JP290" i="6"/>
  <c r="JP287" i="6"/>
  <c r="JP286" i="6"/>
  <c r="JP281" i="6"/>
  <c r="JP284" i="6"/>
  <c r="JP280" i="6"/>
  <c r="JP285" i="6"/>
  <c r="JP283" i="6"/>
  <c r="JP288" i="6"/>
  <c r="JP289" i="6"/>
  <c r="JP277" i="6"/>
  <c r="JP341" i="6"/>
  <c r="JP282" i="6"/>
  <c r="JV295" i="6"/>
  <c r="JV285" i="6"/>
  <c r="JV341" i="6"/>
  <c r="JV293" i="6"/>
  <c r="JV284" i="6"/>
  <c r="JV292" i="6"/>
  <c r="JV296" i="6"/>
  <c r="JV283" i="6"/>
  <c r="JV291" i="6"/>
  <c r="JV286" i="6"/>
  <c r="JV294" i="6"/>
  <c r="JV290" i="6"/>
  <c r="JV287" i="6"/>
  <c r="JV289" i="6"/>
  <c r="JV288" i="6"/>
  <c r="KA288" i="6"/>
  <c r="KA292" i="6"/>
  <c r="KA294" i="6"/>
  <c r="KA293" i="6"/>
  <c r="KA341" i="6"/>
  <c r="KA301" i="6"/>
  <c r="KA299" i="6"/>
  <c r="KA298" i="6"/>
  <c r="KA289" i="6"/>
  <c r="KA295" i="6"/>
  <c r="KA300" i="6"/>
  <c r="KA296" i="6"/>
  <c r="KA290" i="6"/>
  <c r="KA291" i="6"/>
  <c r="KA297" i="6"/>
  <c r="KF297" i="6"/>
  <c r="KF299" i="6"/>
  <c r="KF298" i="6"/>
  <c r="KF294" i="6"/>
  <c r="KF296" i="6"/>
  <c r="KF300" i="6"/>
  <c r="KF304" i="6"/>
  <c r="KF295" i="6"/>
  <c r="KF302" i="6"/>
  <c r="KF341" i="6"/>
  <c r="KF305" i="6"/>
  <c r="KF306" i="6"/>
  <c r="KF293" i="6"/>
  <c r="KF303" i="6"/>
  <c r="KF301" i="6"/>
  <c r="KL303" i="6"/>
  <c r="KL304" i="6"/>
  <c r="KL299" i="6"/>
  <c r="KL341" i="6"/>
  <c r="KL311" i="6"/>
  <c r="KL302" i="6"/>
  <c r="KL310" i="6"/>
  <c r="KL309" i="6"/>
  <c r="KL305" i="6"/>
  <c r="KL308" i="6"/>
  <c r="KL312" i="6"/>
  <c r="KL307" i="6"/>
  <c r="KL301" i="6"/>
  <c r="KL306" i="6"/>
  <c r="KL300" i="6"/>
  <c r="KQ307" i="6"/>
  <c r="KQ317" i="6"/>
  <c r="KQ313" i="6"/>
  <c r="KQ311" i="6"/>
  <c r="KQ315" i="6"/>
  <c r="KQ306" i="6"/>
  <c r="KQ305" i="6"/>
  <c r="KQ304" i="6"/>
  <c r="KQ309" i="6"/>
  <c r="KQ314" i="6"/>
  <c r="KQ312" i="6"/>
  <c r="KQ341" i="6"/>
  <c r="KQ316" i="6"/>
  <c r="KQ310" i="6"/>
  <c r="KQ308" i="6"/>
  <c r="KV319" i="6"/>
  <c r="KV317" i="6"/>
  <c r="KV314" i="6"/>
  <c r="KV316" i="6"/>
  <c r="KV318" i="6"/>
  <c r="KV341" i="6"/>
  <c r="KV312" i="6"/>
  <c r="KV311" i="6"/>
  <c r="KV315" i="6"/>
  <c r="KV313" i="6"/>
  <c r="KV309" i="6"/>
  <c r="KV310" i="6"/>
  <c r="KV320" i="6"/>
  <c r="KV322" i="6"/>
  <c r="KV321" i="6"/>
  <c r="LB322" i="6"/>
  <c r="LB325" i="6"/>
  <c r="LB324" i="6"/>
  <c r="LB328" i="6"/>
  <c r="LB318" i="6"/>
  <c r="LB320" i="6"/>
  <c r="LB323" i="6"/>
  <c r="LB316" i="6"/>
  <c r="LB319" i="6"/>
  <c r="LB321" i="6"/>
  <c r="LB327" i="6"/>
  <c r="LB326" i="6"/>
  <c r="LB315" i="6"/>
  <c r="LB317" i="6"/>
  <c r="LB341" i="6"/>
  <c r="LG322" i="6"/>
  <c r="LG323" i="6"/>
  <c r="LG326" i="6"/>
  <c r="LG333" i="6"/>
  <c r="LG331" i="6"/>
  <c r="LG321" i="6"/>
  <c r="LG341" i="6"/>
  <c r="LG327" i="6"/>
  <c r="LG320" i="6"/>
  <c r="LG330" i="6"/>
  <c r="LG328" i="6"/>
  <c r="LG324" i="6"/>
  <c r="LG329" i="6"/>
  <c r="LG332" i="6"/>
  <c r="LG325" i="6"/>
  <c r="LL335" i="6"/>
  <c r="LL333" i="6"/>
  <c r="LL331" i="6"/>
  <c r="LL337" i="6"/>
  <c r="LL341" i="6"/>
  <c r="LL329" i="6"/>
  <c r="LL326" i="6"/>
  <c r="LL324" i="6"/>
  <c r="LL327" i="6"/>
  <c r="LL334" i="6"/>
  <c r="LL325" i="6"/>
  <c r="LL330" i="6"/>
  <c r="LL336" i="6"/>
  <c r="LL332" i="6"/>
  <c r="LL328" i="6"/>
  <c r="LR330" i="6"/>
  <c r="LR335" i="6"/>
  <c r="LR5" i="6"/>
  <c r="LR336" i="6"/>
  <c r="LR3" i="6"/>
  <c r="LR334" i="6"/>
  <c r="LR8" i="6"/>
  <c r="LR341" i="6"/>
  <c r="LR331" i="6"/>
  <c r="LR4" i="6"/>
  <c r="LR7" i="6"/>
  <c r="LR332" i="6"/>
  <c r="LR337" i="6"/>
  <c r="LR9" i="6"/>
  <c r="LR6" i="6"/>
  <c r="LR333" i="6"/>
  <c r="LW11" i="6"/>
  <c r="LW341" i="6"/>
  <c r="LW335" i="6"/>
  <c r="LW14" i="6"/>
  <c r="LW3" i="6"/>
  <c r="LW10" i="6"/>
  <c r="LW4" i="6"/>
  <c r="LW5" i="6"/>
  <c r="LW12" i="6"/>
  <c r="LW9" i="6"/>
  <c r="LW7" i="6"/>
  <c r="LW337" i="6"/>
  <c r="LW8" i="6"/>
  <c r="LW336" i="6"/>
  <c r="LW13" i="6"/>
  <c r="LW6" i="6"/>
  <c r="FT185" i="6"/>
  <c r="FT177" i="6"/>
  <c r="FT184" i="6"/>
  <c r="FT341" i="6"/>
  <c r="FT181" i="6"/>
  <c r="FT189" i="6"/>
  <c r="FT179" i="6"/>
  <c r="FT178" i="6"/>
  <c r="FT183" i="6"/>
  <c r="FT180" i="6"/>
  <c r="FT187" i="6"/>
  <c r="FT190" i="6"/>
  <c r="FT186" i="6"/>
  <c r="FT182" i="6"/>
  <c r="FT188" i="6"/>
  <c r="GE200" i="6"/>
  <c r="GE195" i="6"/>
  <c r="GE191" i="6"/>
  <c r="GE201" i="6"/>
  <c r="GE188" i="6"/>
  <c r="GE190" i="6"/>
  <c r="GE196" i="6"/>
  <c r="GE341" i="6"/>
  <c r="GE199" i="6"/>
  <c r="GE194" i="6"/>
  <c r="GE189" i="6"/>
  <c r="GE197" i="6"/>
  <c r="GE198" i="6"/>
  <c r="GE192" i="6"/>
  <c r="GE193" i="6"/>
  <c r="GP212" i="6"/>
  <c r="GP203" i="6"/>
  <c r="GP206" i="6"/>
  <c r="GP201" i="6"/>
  <c r="GP207" i="6"/>
  <c r="GP209" i="6"/>
  <c r="GP205" i="6"/>
  <c r="GP208" i="6"/>
  <c r="GP199" i="6"/>
  <c r="GP200" i="6"/>
  <c r="GP202" i="6"/>
  <c r="GP210" i="6"/>
  <c r="GP341" i="6"/>
  <c r="GP211" i="6"/>
  <c r="GP204" i="6"/>
  <c r="GZ220" i="6"/>
  <c r="GZ221" i="6"/>
  <c r="GZ218" i="6"/>
  <c r="GZ341" i="6"/>
  <c r="GZ209" i="6"/>
  <c r="GZ215" i="6"/>
  <c r="GZ210" i="6"/>
  <c r="GZ212" i="6"/>
  <c r="GZ214" i="6"/>
  <c r="GZ222" i="6"/>
  <c r="GZ211" i="6"/>
  <c r="GZ216" i="6"/>
  <c r="GZ219" i="6"/>
  <c r="GZ217" i="6"/>
  <c r="GZ213" i="6"/>
  <c r="HF226" i="6"/>
  <c r="HF341" i="6"/>
  <c r="HF218" i="6"/>
  <c r="HF228" i="6"/>
  <c r="HF223" i="6"/>
  <c r="HF216" i="6"/>
  <c r="HF215" i="6"/>
  <c r="HF219" i="6"/>
  <c r="HF224" i="6"/>
  <c r="HF220" i="6"/>
  <c r="HF222" i="6"/>
  <c r="HF227" i="6"/>
  <c r="HF225" i="6"/>
  <c r="HF221" i="6"/>
  <c r="HF217" i="6"/>
  <c r="HK222" i="6"/>
  <c r="HK220" i="6"/>
  <c r="HK228" i="6"/>
  <c r="HK233" i="6"/>
  <c r="HK223" i="6"/>
  <c r="HK226" i="6"/>
  <c r="HK232" i="6"/>
  <c r="HK229" i="6"/>
  <c r="HK224" i="6"/>
  <c r="HK227" i="6"/>
  <c r="HK225" i="6"/>
  <c r="HK341" i="6"/>
  <c r="HK230" i="6"/>
  <c r="HK221" i="6"/>
  <c r="HK231" i="6"/>
  <c r="HV243" i="6"/>
  <c r="HV244" i="6"/>
  <c r="HV233" i="6"/>
  <c r="HV235" i="6"/>
  <c r="HV341" i="6"/>
  <c r="HV239" i="6"/>
  <c r="HV232" i="6"/>
  <c r="HV237" i="6"/>
  <c r="HV242" i="6"/>
  <c r="HV236" i="6"/>
  <c r="HV238" i="6"/>
  <c r="HV231" i="6"/>
  <c r="HV234" i="6"/>
  <c r="HV241" i="6"/>
  <c r="HV240" i="6"/>
  <c r="IF251" i="6"/>
  <c r="IF245" i="6"/>
  <c r="IF341" i="6"/>
  <c r="IF248" i="6"/>
  <c r="IF246" i="6"/>
  <c r="IF244" i="6"/>
  <c r="IF253" i="6"/>
  <c r="IF242" i="6"/>
  <c r="IF243" i="6"/>
  <c r="IF241" i="6"/>
  <c r="IF254" i="6"/>
  <c r="IF247" i="6"/>
  <c r="IF249" i="6"/>
  <c r="IF252" i="6"/>
  <c r="IF250" i="6"/>
  <c r="IQ265" i="6"/>
  <c r="IQ256" i="6"/>
  <c r="IQ260" i="6"/>
  <c r="IQ262" i="6"/>
  <c r="IQ263" i="6"/>
  <c r="IQ261" i="6"/>
  <c r="IQ252" i="6"/>
  <c r="IQ341" i="6"/>
  <c r="IQ254" i="6"/>
  <c r="IQ258" i="6"/>
  <c r="IQ264" i="6"/>
  <c r="IQ259" i="6"/>
  <c r="IQ255" i="6"/>
  <c r="IQ257" i="6"/>
  <c r="IQ253" i="6"/>
  <c r="IV267" i="6"/>
  <c r="IV265" i="6"/>
  <c r="IV341" i="6"/>
  <c r="IV258" i="6"/>
  <c r="IV263" i="6"/>
  <c r="IV269" i="6"/>
  <c r="IV266" i="6"/>
  <c r="IV260" i="6"/>
  <c r="IV270" i="6"/>
  <c r="IV264" i="6"/>
  <c r="IV262" i="6"/>
  <c r="IV257" i="6"/>
  <c r="IV268" i="6"/>
  <c r="IV261" i="6"/>
  <c r="IV259" i="6"/>
  <c r="JG270" i="6"/>
  <c r="JG341" i="6"/>
  <c r="JG279" i="6"/>
  <c r="JG275" i="6"/>
  <c r="JG271" i="6"/>
  <c r="JG273" i="6"/>
  <c r="JG281" i="6"/>
  <c r="JG274" i="6"/>
  <c r="JG276" i="6"/>
  <c r="JG269" i="6"/>
  <c r="JG277" i="6"/>
  <c r="JG272" i="6"/>
  <c r="JG278" i="6"/>
  <c r="JG280" i="6"/>
  <c r="JG268" i="6"/>
  <c r="JL279" i="6"/>
  <c r="JL281" i="6"/>
  <c r="JL284" i="6"/>
  <c r="JL286" i="6"/>
  <c r="JL274" i="6"/>
  <c r="JL283" i="6"/>
  <c r="JL273" i="6"/>
  <c r="JL275" i="6"/>
  <c r="JL341" i="6"/>
  <c r="JL276" i="6"/>
  <c r="JL280" i="6"/>
  <c r="JL285" i="6"/>
  <c r="JL277" i="6"/>
  <c r="JL282" i="6"/>
  <c r="JL278" i="6"/>
  <c r="JR289" i="6"/>
  <c r="JR286" i="6"/>
  <c r="JR290" i="6"/>
  <c r="JR287" i="6"/>
  <c r="JR279" i="6"/>
  <c r="JR292" i="6"/>
  <c r="JR341" i="6"/>
  <c r="JR288" i="6"/>
  <c r="JR282" i="6"/>
  <c r="JR285" i="6"/>
  <c r="JR284" i="6"/>
  <c r="JR283" i="6"/>
  <c r="JR281" i="6"/>
  <c r="JR291" i="6"/>
  <c r="JR280" i="6"/>
  <c r="KB294" i="6"/>
  <c r="KB291" i="6"/>
  <c r="KB292" i="6"/>
  <c r="KB290" i="6"/>
  <c r="KB293" i="6"/>
  <c r="KB296" i="6"/>
  <c r="KB297" i="6"/>
  <c r="KB289" i="6"/>
  <c r="KB302" i="6"/>
  <c r="KB298" i="6"/>
  <c r="KB300" i="6"/>
  <c r="KB295" i="6"/>
  <c r="KB301" i="6"/>
  <c r="KB299" i="6"/>
  <c r="KB341" i="6"/>
  <c r="KH297" i="6"/>
  <c r="KH303" i="6"/>
  <c r="KH296" i="6"/>
  <c r="KH300" i="6"/>
  <c r="KH302" i="6"/>
  <c r="KH308" i="6"/>
  <c r="KH305" i="6"/>
  <c r="KH341" i="6"/>
  <c r="KH306" i="6"/>
  <c r="KH304" i="6"/>
  <c r="KH301" i="6"/>
  <c r="KH299" i="6"/>
  <c r="KH307" i="6"/>
  <c r="KH295" i="6"/>
  <c r="KH298" i="6"/>
  <c r="KM311" i="6"/>
  <c r="KM305" i="6"/>
  <c r="KM308" i="6"/>
  <c r="KM341" i="6"/>
  <c r="KM309" i="6"/>
  <c r="KM306" i="6"/>
  <c r="KM301" i="6"/>
  <c r="KM307" i="6"/>
  <c r="KM310" i="6"/>
  <c r="KM313" i="6"/>
  <c r="KM303" i="6"/>
  <c r="KM302" i="6"/>
  <c r="KM304" i="6"/>
  <c r="KM312" i="6"/>
  <c r="KM300" i="6"/>
  <c r="KX316" i="6"/>
  <c r="KX323" i="6"/>
  <c r="KX320" i="6"/>
  <c r="KX312" i="6"/>
  <c r="KX341" i="6"/>
  <c r="KX319" i="6"/>
  <c r="KX311" i="6"/>
  <c r="KX313" i="6"/>
  <c r="KX315" i="6"/>
  <c r="KX318" i="6"/>
  <c r="KX317" i="6"/>
  <c r="KX324" i="6"/>
  <c r="KX322" i="6"/>
  <c r="KX314" i="6"/>
  <c r="KX321" i="6"/>
  <c r="LC321" i="6"/>
  <c r="LC324" i="6"/>
  <c r="LC341" i="6"/>
  <c r="LC328" i="6"/>
  <c r="LC325" i="6"/>
  <c r="LC318" i="6"/>
  <c r="LC329" i="6"/>
  <c r="LC320" i="6"/>
  <c r="LC327" i="6"/>
  <c r="LC322" i="6"/>
  <c r="LC326" i="6"/>
  <c r="LC319" i="6"/>
  <c r="LC317" i="6"/>
  <c r="LC323" i="6"/>
  <c r="LC316" i="6"/>
  <c r="LN328" i="6"/>
  <c r="LN341" i="6"/>
  <c r="LN326" i="6"/>
  <c r="LN333" i="6"/>
  <c r="LN330" i="6"/>
  <c r="LN334" i="6"/>
  <c r="LN3" i="6"/>
  <c r="LN332" i="6"/>
  <c r="LN327" i="6"/>
  <c r="LN329" i="6"/>
  <c r="LN331" i="6"/>
  <c r="LN5" i="6"/>
  <c r="LN335" i="6"/>
  <c r="LN4" i="6"/>
  <c r="LN337" i="6"/>
  <c r="LN336" i="6"/>
  <c r="LX7" i="6"/>
  <c r="LX12" i="6"/>
  <c r="LX3" i="6"/>
  <c r="LX8" i="6"/>
  <c r="LX4" i="6"/>
  <c r="LX14" i="6"/>
  <c r="LX10" i="6"/>
  <c r="LX15" i="6"/>
  <c r="LX13" i="6"/>
  <c r="LX9" i="6"/>
  <c r="LX5" i="6"/>
  <c r="LX341" i="6"/>
  <c r="LX6" i="6"/>
  <c r="LX11" i="6"/>
  <c r="LX336" i="6"/>
  <c r="LX337" i="6"/>
  <c r="IH255" i="6"/>
  <c r="IH243" i="6"/>
  <c r="IH246" i="6"/>
  <c r="IH251" i="6"/>
  <c r="IH254" i="6"/>
  <c r="IH248" i="6"/>
  <c r="IH341" i="6"/>
  <c r="IH249" i="6"/>
  <c r="IH252" i="6"/>
  <c r="IH247" i="6"/>
  <c r="IH245" i="6"/>
  <c r="IH256" i="6"/>
  <c r="IH244" i="6"/>
  <c r="IH250" i="6"/>
  <c r="IH253" i="6"/>
  <c r="IX265" i="6"/>
  <c r="IX259" i="6"/>
  <c r="IX263" i="6"/>
  <c r="IX272" i="6"/>
  <c r="IX262" i="6"/>
  <c r="IX261" i="6"/>
  <c r="IX268" i="6"/>
  <c r="IX264" i="6"/>
  <c r="IX266" i="6"/>
  <c r="IX270" i="6"/>
  <c r="IX271" i="6"/>
  <c r="IX341" i="6"/>
  <c r="IX269" i="6"/>
  <c r="IX260" i="6"/>
  <c r="IX267" i="6"/>
  <c r="JH271" i="6"/>
  <c r="JH282" i="6"/>
  <c r="JH269" i="6"/>
  <c r="JH275" i="6"/>
  <c r="JH274" i="6"/>
  <c r="JH278" i="6"/>
  <c r="JH280" i="6"/>
  <c r="JH276" i="6"/>
  <c r="JH272" i="6"/>
  <c r="JH279" i="6"/>
  <c r="JH341" i="6"/>
  <c r="JH270" i="6"/>
  <c r="JH281" i="6"/>
  <c r="JH277" i="6"/>
  <c r="JH273" i="6"/>
  <c r="JS292" i="6"/>
  <c r="JS281" i="6"/>
  <c r="JS293" i="6"/>
  <c r="JS290" i="6"/>
  <c r="JS341" i="6"/>
  <c r="JS282" i="6"/>
  <c r="JS280" i="6"/>
  <c r="JS287" i="6"/>
  <c r="JS291" i="6"/>
  <c r="JS283" i="6"/>
  <c r="JS289" i="6"/>
  <c r="JS285" i="6"/>
  <c r="JS284" i="6"/>
  <c r="JS288" i="6"/>
  <c r="JS286" i="6"/>
  <c r="KI298" i="6"/>
  <c r="KI306" i="6"/>
  <c r="KI302" i="6"/>
  <c r="KI341" i="6"/>
  <c r="KI300" i="6"/>
  <c r="KI307" i="6"/>
  <c r="KI305" i="6"/>
  <c r="KI296" i="6"/>
  <c r="KI304" i="6"/>
  <c r="KI308" i="6"/>
  <c r="KI299" i="6"/>
  <c r="KI301" i="6"/>
  <c r="KI303" i="6"/>
  <c r="KI297" i="6"/>
  <c r="KI309" i="6"/>
  <c r="KT318" i="6"/>
  <c r="KT316" i="6"/>
  <c r="KT313" i="6"/>
  <c r="KT320" i="6"/>
  <c r="KT314" i="6"/>
  <c r="KT317" i="6"/>
  <c r="KT310" i="6"/>
  <c r="KT308" i="6"/>
  <c r="KT309" i="6"/>
  <c r="KT312" i="6"/>
  <c r="KT315" i="6"/>
  <c r="KT341" i="6"/>
  <c r="KT311" i="6"/>
  <c r="KT319" i="6"/>
  <c r="KT307" i="6"/>
  <c r="LJ325" i="6"/>
  <c r="LJ335" i="6"/>
  <c r="LJ330" i="6"/>
  <c r="LJ328" i="6"/>
  <c r="LJ334" i="6"/>
  <c r="LJ332" i="6"/>
  <c r="LJ327" i="6"/>
  <c r="LJ331" i="6"/>
  <c r="LJ341" i="6"/>
  <c r="LJ329" i="6"/>
  <c r="LJ323" i="6"/>
  <c r="LJ324" i="6"/>
  <c r="LJ326" i="6"/>
  <c r="LJ333" i="6"/>
  <c r="LJ336" i="6"/>
  <c r="LT7" i="6"/>
  <c r="LT9" i="6"/>
  <c r="LT335" i="6"/>
  <c r="LT6" i="6"/>
  <c r="LT10" i="6"/>
  <c r="LT332" i="6"/>
  <c r="LT5" i="6"/>
  <c r="LT337" i="6"/>
  <c r="LT333" i="6"/>
  <c r="LT3" i="6"/>
  <c r="LT336" i="6"/>
  <c r="LT8" i="6"/>
  <c r="LT4" i="6"/>
  <c r="LT334" i="6"/>
  <c r="LT341" i="6"/>
  <c r="LT11" i="6"/>
  <c r="Z41" i="6"/>
  <c r="V37" i="6"/>
  <c r="U36" i="6"/>
  <c r="FL183" i="6"/>
  <c r="LV2" i="6"/>
  <c r="D13" i="6"/>
  <c r="GG204" i="6"/>
  <c r="LD331" i="6"/>
  <c r="EQ162" i="6"/>
  <c r="LO2" i="6"/>
  <c r="KV323" i="6"/>
  <c r="BM80" i="6"/>
  <c r="IG256" i="6"/>
  <c r="IO264" i="6"/>
  <c r="BZ93" i="6"/>
  <c r="EP161" i="6"/>
  <c r="LW2" i="6"/>
  <c r="LB329" i="6"/>
  <c r="AO56" i="6"/>
  <c r="AC44" i="6"/>
  <c r="AG48" i="6"/>
  <c r="EF151" i="6"/>
  <c r="BQ84" i="6"/>
  <c r="GN211" i="6"/>
  <c r="CU114" i="6"/>
  <c r="DC122" i="6"/>
  <c r="HU244" i="6"/>
  <c r="F21" i="6"/>
  <c r="HO238" i="6"/>
  <c r="EE150" i="6"/>
  <c r="JL287" i="6"/>
  <c r="EO160" i="6"/>
  <c r="LN2" i="6"/>
  <c r="DF125" i="6"/>
  <c r="GH205" i="6"/>
  <c r="D15" i="6"/>
  <c r="BS86" i="6"/>
  <c r="CH101" i="6"/>
  <c r="EP146" i="6"/>
  <c r="LM2" i="6"/>
  <c r="DP135" i="6"/>
  <c r="AG33" i="6"/>
  <c r="AZ67" i="6"/>
  <c r="IW272" i="6"/>
  <c r="IO249" i="6"/>
  <c r="IH242" i="6"/>
  <c r="IH257" i="6"/>
  <c r="V22" i="6"/>
  <c r="AU62" i="6"/>
  <c r="BH75" i="6"/>
  <c r="BB69" i="6"/>
  <c r="IX273" i="6"/>
  <c r="LK2" i="6"/>
  <c r="DV141" i="6"/>
  <c r="KU322" i="6"/>
  <c r="JC263" i="6"/>
  <c r="JC278" i="6"/>
  <c r="KJ296" i="6"/>
  <c r="KJ311" i="6"/>
  <c r="GY222" i="6"/>
  <c r="LP2" i="6"/>
  <c r="GH190" i="6"/>
  <c r="FV193" i="6"/>
  <c r="KZ327" i="6"/>
  <c r="JW298" i="6"/>
  <c r="FG178" i="6"/>
  <c r="MA178" i="6" s="1"/>
  <c r="MD178" i="6" s="1"/>
  <c r="GL209" i="6"/>
  <c r="FH179" i="6"/>
  <c r="HB225" i="6"/>
  <c r="BN81" i="6"/>
  <c r="GY207" i="6"/>
  <c r="HG215" i="6"/>
  <c r="HG230" i="6"/>
  <c r="EV167" i="6"/>
  <c r="KB303" i="6"/>
  <c r="FV178" i="6"/>
  <c r="BM65" i="6"/>
  <c r="KO316" i="6"/>
  <c r="IZ275" i="6"/>
  <c r="GT217" i="6"/>
  <c r="JQ292" i="6"/>
  <c r="FZ197" i="6"/>
  <c r="AX65" i="6"/>
  <c r="KN315" i="6"/>
  <c r="AT61" i="6"/>
  <c r="AZ52" i="6"/>
  <c r="KS320" i="6"/>
  <c r="DJ129" i="6"/>
  <c r="EM158" i="6"/>
  <c r="FQ173" i="6"/>
  <c r="FQ188" i="6"/>
  <c r="AI35" i="6"/>
  <c r="AI50" i="6"/>
  <c r="KM314" i="6"/>
  <c r="HQ240" i="6"/>
  <c r="KT306" i="6"/>
  <c r="KT321" i="6"/>
  <c r="FN170" i="6"/>
  <c r="FN185" i="6"/>
  <c r="LL2" i="6"/>
  <c r="LL3" i="6"/>
  <c r="CS112" i="6"/>
  <c r="CI102" i="6"/>
  <c r="DN133" i="6"/>
  <c r="W38" i="6"/>
  <c r="DI128" i="6"/>
  <c r="FA172" i="6"/>
  <c r="CJ103" i="6"/>
  <c r="FX195" i="6"/>
  <c r="FG163" i="6"/>
  <c r="GG189" i="6"/>
  <c r="JV297" i="6"/>
  <c r="KK312" i="6"/>
  <c r="FO171" i="6"/>
  <c r="FO186" i="6"/>
  <c r="IR252" i="6"/>
  <c r="IR267" i="6"/>
  <c r="HO223" i="6"/>
  <c r="CX117" i="6"/>
  <c r="LH335" i="6"/>
  <c r="DU140" i="6"/>
  <c r="CS97" i="6"/>
  <c r="ER163" i="6"/>
  <c r="AX50" i="6"/>
  <c r="AO41" i="6"/>
  <c r="CG100" i="6"/>
  <c r="CH86" i="6"/>
  <c r="GZ208" i="6"/>
  <c r="GZ223" i="6"/>
  <c r="H23" i="6"/>
  <c r="IN263" i="6"/>
  <c r="Q32" i="6"/>
  <c r="GA198" i="6"/>
  <c r="LF333" i="6"/>
  <c r="HC226" i="6"/>
  <c r="LT2" i="6"/>
  <c r="CK104" i="6"/>
  <c r="LA328" i="6"/>
  <c r="ER148" i="6"/>
  <c r="HB210" i="6"/>
  <c r="DZ145" i="6"/>
  <c r="DU125" i="6"/>
  <c r="LE332" i="6"/>
  <c r="GI206" i="6"/>
  <c r="HI232" i="6"/>
  <c r="DR137" i="6"/>
  <c r="DY144" i="6"/>
  <c r="AU47" i="6"/>
  <c r="CI87" i="6"/>
  <c r="LX2" i="6"/>
  <c r="AQ58" i="6"/>
  <c r="EA146" i="6"/>
  <c r="JH283" i="6"/>
  <c r="EY170" i="6"/>
  <c r="HU229" i="6"/>
  <c r="E20" i="6"/>
  <c r="IQ266" i="6"/>
  <c r="HT243" i="6"/>
  <c r="DN118" i="6"/>
  <c r="ED149" i="6"/>
  <c r="HS242" i="6"/>
  <c r="LQ2" i="6"/>
  <c r="DE124" i="6"/>
  <c r="GN196" i="6"/>
  <c r="JH268" i="6"/>
  <c r="D5" i="6"/>
  <c r="D17" i="6"/>
  <c r="KX325" i="6"/>
  <c r="JQ277" i="6"/>
  <c r="D14" i="6"/>
  <c r="DC107" i="6"/>
  <c r="KE291" i="6"/>
  <c r="KE306" i="6"/>
  <c r="ID238" i="6"/>
  <c r="ID253" i="6"/>
  <c r="LD316" i="6"/>
  <c r="BG74" i="6"/>
  <c r="BZ78" i="6"/>
  <c r="HN237" i="6"/>
  <c r="CV115" i="6"/>
  <c r="ES164" i="6"/>
  <c r="KV308" i="6"/>
  <c r="IS268" i="6"/>
  <c r="DB121" i="6"/>
  <c r="CP109" i="6"/>
  <c r="BN66" i="6"/>
  <c r="DP120" i="6"/>
  <c r="BP83" i="6"/>
  <c r="FB158" i="6"/>
  <c r="FB173" i="6"/>
  <c r="MA173" i="6" s="1"/>
  <c r="MD173" i="6" s="1"/>
  <c r="DM132" i="6"/>
  <c r="BH60" i="6"/>
  <c r="GB199" i="6"/>
  <c r="Y40" i="6"/>
  <c r="IF255" i="6"/>
  <c r="DF110" i="6"/>
  <c r="FL168" i="6"/>
  <c r="U21" i="6"/>
  <c r="GB184" i="6"/>
  <c r="JP291" i="6"/>
  <c r="DV126" i="6"/>
  <c r="D12" i="6"/>
  <c r="IL246" i="6"/>
  <c r="IL261" i="6"/>
  <c r="IN248" i="6"/>
  <c r="EV152" i="6"/>
  <c r="BO82" i="6"/>
  <c r="BS71" i="6"/>
  <c r="BD71" i="6"/>
  <c r="JY285" i="6"/>
  <c r="JY300" i="6"/>
  <c r="DW142" i="6"/>
  <c r="HZ249" i="6"/>
  <c r="MA249" i="6" s="1"/>
  <c r="MD249" i="6" s="1"/>
  <c r="HQ225" i="6"/>
  <c r="KS305" i="6"/>
  <c r="LR2" i="6"/>
  <c r="HL235" i="6"/>
  <c r="GM210" i="6"/>
  <c r="AJ51" i="6"/>
  <c r="X24" i="6"/>
  <c r="X39" i="6"/>
  <c r="KR319" i="6"/>
  <c r="LC330" i="6"/>
  <c r="Y25" i="6"/>
  <c r="BC70" i="6"/>
  <c r="DT139" i="6"/>
  <c r="DB106" i="6"/>
  <c r="JL272" i="6"/>
  <c r="W23" i="6"/>
  <c r="IF240" i="6"/>
  <c r="BW75" i="6"/>
  <c r="BW90" i="6"/>
  <c r="BO67" i="6"/>
  <c r="IM262" i="6"/>
  <c r="HC211" i="6"/>
  <c r="DS138" i="6"/>
  <c r="JA276" i="6"/>
  <c r="EA131" i="6"/>
  <c r="CK89" i="6"/>
  <c r="FX180" i="6"/>
  <c r="BI76" i="6"/>
  <c r="GS216" i="6"/>
  <c r="LB314" i="6"/>
  <c r="BB54" i="6"/>
  <c r="FZ182" i="6"/>
  <c r="IG241" i="6"/>
  <c r="JM288" i="6"/>
  <c r="DA120" i="6"/>
  <c r="EC148" i="6"/>
  <c r="JU296" i="6"/>
  <c r="IT269" i="6"/>
  <c r="JT295" i="6"/>
  <c r="JO290" i="6"/>
  <c r="CW116" i="6"/>
  <c r="LJ337" i="6"/>
  <c r="BC55" i="6"/>
  <c r="GP213" i="6"/>
  <c r="KL313" i="6"/>
  <c r="K26" i="6"/>
  <c r="IY274" i="6"/>
  <c r="AA42" i="6"/>
  <c r="IX258" i="6"/>
  <c r="DI113" i="6"/>
  <c r="IU255" i="6"/>
  <c r="IU270" i="6"/>
  <c r="CT98" i="6"/>
  <c r="CT113" i="6"/>
  <c r="JR278" i="6"/>
  <c r="JR293" i="6"/>
  <c r="JS294" i="6"/>
  <c r="P16" i="6"/>
  <c r="P31" i="6"/>
  <c r="BJ62" i="6"/>
  <c r="BJ77" i="6"/>
  <c r="GT202" i="6"/>
  <c r="KU307" i="6"/>
  <c r="IK260" i="6"/>
  <c r="AS45" i="6"/>
  <c r="AS60" i="6"/>
  <c r="AV63" i="6"/>
  <c r="GU203" i="6"/>
  <c r="GU218" i="6"/>
  <c r="CR111" i="6"/>
  <c r="EM143" i="6"/>
  <c r="FC159" i="6"/>
  <c r="FC174" i="6"/>
  <c r="CE98" i="6"/>
  <c r="D11" i="6"/>
  <c r="BR70" i="6"/>
  <c r="MA70" i="6" s="1"/>
  <c r="MD70" i="6" s="1"/>
  <c r="BR85" i="6"/>
  <c r="BX91" i="6"/>
  <c r="KM299" i="6"/>
  <c r="FK182" i="6"/>
  <c r="FM169" i="6"/>
  <c r="FM184" i="6"/>
  <c r="MA184" i="6" s="1"/>
  <c r="MD184" i="6" s="1"/>
  <c r="IB236" i="6"/>
  <c r="IB251" i="6"/>
  <c r="DJ114" i="6"/>
  <c r="CY118" i="6"/>
  <c r="MA118" i="6" s="1"/>
  <c r="MD118" i="6" s="1"/>
  <c r="AN40" i="6"/>
  <c r="AN55" i="6"/>
  <c r="DG126" i="6"/>
  <c r="LU2" i="6"/>
  <c r="T20" i="6"/>
  <c r="T35" i="6"/>
  <c r="CF84" i="6"/>
  <c r="CF99" i="6"/>
  <c r="KN300" i="6"/>
  <c r="HF214" i="6"/>
  <c r="HF229" i="6"/>
  <c r="AR44" i="6"/>
  <c r="MA44" i="6" s="1"/>
  <c r="MD44" i="6" s="1"/>
  <c r="AR59" i="6"/>
  <c r="JV282" i="6"/>
  <c r="JI284" i="6"/>
  <c r="LA313" i="6"/>
  <c r="JI269" i="6"/>
  <c r="DO134" i="6"/>
  <c r="FS175" i="6"/>
  <c r="FS190" i="6"/>
  <c r="GW205" i="6"/>
  <c r="GW220" i="6"/>
  <c r="BY77" i="6"/>
  <c r="BY92" i="6"/>
  <c r="GE202" i="6"/>
  <c r="DZ130" i="6"/>
  <c r="HZ234" i="6"/>
  <c r="FF177" i="6"/>
  <c r="BA68" i="6"/>
  <c r="GM195" i="6"/>
  <c r="KC289" i="6"/>
  <c r="KC304" i="6"/>
  <c r="CR96" i="6"/>
  <c r="LE317" i="6"/>
  <c r="GI191" i="6"/>
  <c r="HI217" i="6"/>
  <c r="DR122" i="6"/>
  <c r="MA122" i="6" s="1"/>
  <c r="MD122" i="6" s="1"/>
  <c r="DY129" i="6"/>
  <c r="EO145" i="6"/>
  <c r="IS253" i="6"/>
  <c r="AK52" i="6"/>
  <c r="LI321" i="6"/>
  <c r="LI336" i="6"/>
  <c r="IV256" i="6"/>
  <c r="IV271" i="6"/>
  <c r="AQ43" i="6"/>
  <c r="LG334" i="6"/>
  <c r="BG59" i="6"/>
  <c r="Z26" i="6"/>
  <c r="D6" i="6"/>
  <c r="AV48" i="6"/>
  <c r="FA157" i="6"/>
  <c r="KB288" i="6"/>
  <c r="AD30" i="6"/>
  <c r="MA30" i="6" s="1"/>
  <c r="MD30" i="6" s="1"/>
  <c r="AD45" i="6"/>
  <c r="CC81" i="6"/>
  <c r="CC96" i="6"/>
  <c r="EY155" i="6"/>
  <c r="CG85" i="6"/>
  <c r="IM247" i="6"/>
  <c r="HV245" i="6"/>
  <c r="E5" i="6"/>
  <c r="IQ251" i="6"/>
  <c r="GS201" i="6"/>
  <c r="BL79" i="6"/>
  <c r="D18" i="6"/>
  <c r="JM273" i="6"/>
  <c r="EC133" i="6"/>
  <c r="HN222" i="6"/>
  <c r="LY2" i="6"/>
  <c r="D19" i="6"/>
  <c r="KI295" i="6"/>
  <c r="KI310" i="6"/>
  <c r="IT254" i="6"/>
  <c r="HT228" i="6"/>
  <c r="CV100" i="6"/>
  <c r="ES149" i="6"/>
  <c r="CW101" i="6"/>
  <c r="AL53" i="6"/>
  <c r="GF188" i="6"/>
  <c r="GF203" i="6"/>
  <c r="MA203" i="6" s="1"/>
  <c r="MD203" i="6" s="1"/>
  <c r="GP198" i="6"/>
  <c r="HV230" i="6"/>
  <c r="GQ199" i="6"/>
  <c r="GQ214" i="6"/>
  <c r="GX206" i="6"/>
  <c r="GX221" i="6"/>
  <c r="EK156" i="6"/>
  <c r="GD186" i="6"/>
  <c r="GD201" i="6"/>
  <c r="GV219" i="6"/>
  <c r="ED134" i="6"/>
  <c r="JP276" i="6"/>
  <c r="AA27" i="6"/>
  <c r="AT46" i="6"/>
  <c r="O30" i="6"/>
  <c r="GV204" i="6"/>
  <c r="KZ312" i="6"/>
  <c r="JJ270" i="6"/>
  <c r="JJ285" i="6"/>
  <c r="DE109" i="6"/>
  <c r="JW283" i="6"/>
  <c r="EB132" i="6"/>
  <c r="EB147" i="6"/>
  <c r="EF136" i="6"/>
  <c r="BX76" i="6"/>
  <c r="O15" i="6"/>
  <c r="IC252" i="6"/>
  <c r="MA252" i="6" s="1"/>
  <c r="MD252" i="6" s="1"/>
  <c r="CO108" i="6"/>
  <c r="HS227" i="6"/>
  <c r="BK78" i="6"/>
  <c r="EQ147" i="6"/>
  <c r="D9" i="6"/>
  <c r="AM39" i="6"/>
  <c r="AM54" i="6"/>
  <c r="CN92" i="6"/>
  <c r="CN107" i="6"/>
  <c r="FR189" i="6"/>
  <c r="DD123" i="6"/>
  <c r="FE161" i="6"/>
  <c r="FE176" i="6"/>
  <c r="FP187" i="6"/>
  <c r="AH49" i="6"/>
  <c r="IA235" i="6"/>
  <c r="IA250" i="6"/>
  <c r="KH294" i="6"/>
  <c r="KH309" i="6"/>
  <c r="GJ192" i="6"/>
  <c r="GJ207" i="6"/>
  <c r="KP317" i="6"/>
  <c r="N14" i="6"/>
  <c r="N29" i="6"/>
  <c r="KQ303" i="6"/>
  <c r="KQ318" i="6"/>
  <c r="FW194" i="6"/>
  <c r="JF266" i="6"/>
  <c r="JF281" i="6"/>
  <c r="HD212" i="6"/>
  <c r="HD227" i="6"/>
  <c r="FU177" i="6"/>
  <c r="FU192" i="6"/>
  <c r="EL142" i="6"/>
  <c r="EL157" i="6"/>
  <c r="CB80" i="6"/>
  <c r="CB95" i="6"/>
  <c r="J25" i="6"/>
  <c r="DQ121" i="6"/>
  <c r="DQ136" i="6"/>
  <c r="DM117" i="6"/>
  <c r="MA117" i="6" s="1"/>
  <c r="MD117" i="6" s="1"/>
  <c r="GO212" i="6"/>
  <c r="AB28" i="6"/>
  <c r="AB43" i="6"/>
  <c r="HK219" i="6"/>
  <c r="HK234" i="6"/>
  <c r="D8" i="6"/>
  <c r="FT176" i="6"/>
  <c r="FT191" i="6"/>
  <c r="DK130" i="6"/>
  <c r="JZ286" i="6"/>
  <c r="JZ301" i="6"/>
  <c r="CD97" i="6"/>
  <c r="HA224" i="6"/>
  <c r="G7" i="6"/>
  <c r="G22" i="6"/>
  <c r="HE213" i="6"/>
  <c r="HE228" i="6"/>
  <c r="M13" i="6"/>
  <c r="M28" i="6"/>
  <c r="MA28" i="6" s="1"/>
  <c r="MD28" i="6" s="1"/>
  <c r="LS2" i="6"/>
  <c r="EE135" i="6"/>
  <c r="AF47" i="6"/>
  <c r="II243" i="6"/>
  <c r="II258" i="6"/>
  <c r="AC29" i="6"/>
  <c r="FH164" i="6"/>
  <c r="FD175" i="6"/>
  <c r="FW179" i="6"/>
  <c r="BU88" i="6"/>
  <c r="FJ181" i="6"/>
  <c r="DO119" i="6"/>
  <c r="DW127" i="6"/>
  <c r="F6" i="6"/>
  <c r="FF162" i="6"/>
  <c r="EX154" i="6"/>
  <c r="EX169" i="6"/>
  <c r="IW257" i="6"/>
  <c r="EH138" i="6"/>
  <c r="EH153" i="6"/>
  <c r="HL220" i="6"/>
  <c r="AE31" i="6"/>
  <c r="AE46" i="6"/>
  <c r="EJ140" i="6"/>
  <c r="EJ155" i="6"/>
  <c r="FR174" i="6"/>
  <c r="CU99" i="6"/>
  <c r="JB262" i="6"/>
  <c r="MA262" i="6" s="1"/>
  <c r="MD262" i="6" s="1"/>
  <c r="JB277" i="6"/>
  <c r="HY233" i="6"/>
  <c r="HY248" i="6"/>
  <c r="AJ36" i="6"/>
  <c r="DG111" i="6"/>
  <c r="LH320" i="6"/>
  <c r="KR304" i="6"/>
  <c r="LC315" i="6"/>
  <c r="HR241" i="6"/>
  <c r="HW231" i="6"/>
  <c r="HW246" i="6"/>
  <c r="GC200" i="6"/>
  <c r="HP224" i="6"/>
  <c r="HP239" i="6"/>
  <c r="GL194" i="6"/>
  <c r="CA79" i="6"/>
  <c r="CA94" i="6"/>
  <c r="AW64" i="6"/>
  <c r="IJ244" i="6"/>
  <c r="MA244" i="6" s="1"/>
  <c r="MD244" i="6" s="1"/>
  <c r="IJ259" i="6"/>
  <c r="CQ95" i="6"/>
  <c r="CQ110" i="6"/>
  <c r="MA110" i="6" s="1"/>
  <c r="MD110" i="6" s="1"/>
  <c r="KA287" i="6"/>
  <c r="KA302" i="6"/>
  <c r="BA53" i="6"/>
  <c r="HA209" i="6"/>
  <c r="CP94" i="6"/>
  <c r="KK297" i="6"/>
  <c r="BE72" i="6"/>
  <c r="EZ156" i="6"/>
  <c r="EZ171" i="6"/>
  <c r="JN274" i="6"/>
  <c r="JN289" i="6"/>
  <c r="IP250" i="6"/>
  <c r="IP265" i="6"/>
  <c r="CZ104" i="6"/>
  <c r="CZ119" i="6"/>
  <c r="AK37" i="6"/>
  <c r="R18" i="6"/>
  <c r="R33" i="6"/>
  <c r="GK193" i="6"/>
  <c r="GK208" i="6"/>
  <c r="AP42" i="6"/>
  <c r="AP57" i="6"/>
  <c r="EW153" i="6"/>
  <c r="EW168" i="6"/>
  <c r="I9" i="6"/>
  <c r="I24" i="6"/>
  <c r="MA24" i="6"/>
  <c r="MD24" i="6" s="1"/>
  <c r="GC185" i="6"/>
  <c r="JS279" i="6"/>
  <c r="JX284" i="6"/>
  <c r="JX299" i="6"/>
  <c r="DS123" i="6"/>
  <c r="JA261" i="6"/>
  <c r="FJ166" i="6"/>
  <c r="GE187" i="6"/>
  <c r="BD56" i="6"/>
  <c r="FD160" i="6"/>
  <c r="BI61" i="6"/>
  <c r="CJ88" i="6"/>
  <c r="FP172" i="6"/>
  <c r="DH112" i="6"/>
  <c r="DH127" i="6"/>
  <c r="JD264" i="6"/>
  <c r="JD279" i="6"/>
  <c r="CM91" i="6"/>
  <c r="MA91" i="6" s="1"/>
  <c r="MD91" i="6" s="1"/>
  <c r="CM106" i="6"/>
  <c r="HM221" i="6"/>
  <c r="HM236" i="6"/>
  <c r="KO301" i="6"/>
  <c r="BL64" i="6"/>
  <c r="JG267" i="6"/>
  <c r="JG282" i="6"/>
  <c r="MA282" i="6" s="1"/>
  <c r="MD282" i="6" s="1"/>
  <c r="IK245" i="6"/>
  <c r="AH34" i="6"/>
  <c r="DD108" i="6"/>
  <c r="GO197" i="6"/>
  <c r="ET150" i="6"/>
  <c r="ET165" i="6"/>
  <c r="CY103" i="6"/>
  <c r="J10" i="6"/>
  <c r="EG137" i="6"/>
  <c r="EG152" i="6"/>
  <c r="DA105" i="6"/>
  <c r="FY181" i="6"/>
  <c r="FY196" i="6"/>
  <c r="IE239" i="6"/>
  <c r="IE254" i="6"/>
  <c r="JU281" i="6"/>
  <c r="BT72" i="6"/>
  <c r="BT87" i="6"/>
  <c r="AY51" i="6"/>
  <c r="AY66" i="6"/>
  <c r="GR200" i="6"/>
  <c r="GR215" i="6"/>
  <c r="MA215" i="6" s="1"/>
  <c r="MD215" i="6" s="1"/>
  <c r="HH216" i="6"/>
  <c r="HH231" i="6"/>
  <c r="JT280" i="6"/>
  <c r="JO275" i="6"/>
  <c r="KY311" i="6"/>
  <c r="KY326" i="6"/>
  <c r="HR226" i="6"/>
  <c r="LJ322" i="6"/>
  <c r="S19" i="6"/>
  <c r="S34" i="6"/>
  <c r="AL38" i="6"/>
  <c r="Q17" i="6"/>
  <c r="MA17" i="6" s="1"/>
  <c r="MD17" i="6" s="1"/>
  <c r="EN159" i="6"/>
  <c r="BQ69" i="6"/>
  <c r="HX232" i="6"/>
  <c r="HX247" i="6"/>
  <c r="K11" i="6"/>
  <c r="EK141" i="6"/>
  <c r="KD290" i="6"/>
  <c r="KD305" i="6"/>
  <c r="BV74" i="6"/>
  <c r="BV89" i="6"/>
  <c r="MA89" i="6" s="1"/>
  <c r="MD89" i="6" s="1"/>
  <c r="IY259" i="6"/>
  <c r="LG319" i="6"/>
  <c r="HJ218" i="6"/>
  <c r="HJ233" i="6"/>
  <c r="JE265" i="6"/>
  <c r="JE280" i="6"/>
  <c r="CE83" i="6"/>
  <c r="MA83" i="6" s="1"/>
  <c r="MD83" i="6" s="1"/>
  <c r="D10" i="6"/>
  <c r="CX102" i="6"/>
  <c r="MA102" i="6" s="1"/>
  <c r="MD102" i="6" s="1"/>
  <c r="KF292" i="6"/>
  <c r="KF307" i="6"/>
  <c r="AF32" i="6"/>
  <c r="GA183" i="6"/>
  <c r="KL298" i="6"/>
  <c r="DX128" i="6"/>
  <c r="DX143" i="6"/>
  <c r="JK286" i="6"/>
  <c r="H8" i="6"/>
  <c r="KX310" i="6"/>
  <c r="DK115" i="6"/>
  <c r="IC237" i="6"/>
  <c r="LF318" i="6"/>
  <c r="AW49" i="6"/>
  <c r="IZ260" i="6"/>
  <c r="MA260" i="6" s="1"/>
  <c r="MD260" i="6" s="1"/>
  <c r="BF73" i="6"/>
  <c r="EU166" i="6"/>
  <c r="CO93" i="6"/>
  <c r="CD82" i="6"/>
  <c r="FK167" i="6"/>
  <c r="BU73" i="6"/>
  <c r="MA73" i="6" s="1"/>
  <c r="MD73" i="6" s="1"/>
  <c r="BE57" i="6"/>
  <c r="KG293" i="6"/>
  <c r="KG308" i="6"/>
  <c r="CL90" i="6"/>
  <c r="CL105" i="6"/>
  <c r="MA105" i="6" s="1"/>
  <c r="MD105" i="6" s="1"/>
  <c r="KP302" i="6"/>
  <c r="BK63" i="6"/>
  <c r="EI154" i="6"/>
  <c r="BF58" i="6"/>
  <c r="KW309" i="6"/>
  <c r="KW324" i="6"/>
  <c r="DL116" i="6"/>
  <c r="MA116" i="6" s="1"/>
  <c r="MD116" i="6" s="1"/>
  <c r="DL131" i="6"/>
  <c r="D16" i="6"/>
  <c r="MA16" i="6" s="1"/>
  <c r="MD16" i="6" s="1"/>
  <c r="D4" i="6"/>
  <c r="D7" i="6"/>
  <c r="JK271" i="6"/>
  <c r="DT124" i="6"/>
  <c r="EN144" i="6"/>
  <c r="BP68" i="6"/>
  <c r="EU151" i="6"/>
  <c r="L12" i="6"/>
  <c r="L27" i="6"/>
  <c r="MA27" i="6" s="1"/>
  <c r="MD27" i="6" s="1"/>
  <c r="FI165" i="6"/>
  <c r="FI180" i="6"/>
  <c r="EI139" i="6"/>
  <c r="MK61" i="6" l="1"/>
  <c r="MQ61" i="6"/>
  <c r="MW61" i="6"/>
  <c r="NC61" i="6"/>
  <c r="MZ61" i="6"/>
  <c r="MT61" i="6"/>
  <c r="ML58" i="6" a="1"/>
  <c r="ML58" i="6" s="1"/>
  <c r="ML53" i="6" a="1"/>
  <c r="ML53" i="6" s="1"/>
  <c r="ML48" i="6" a="1"/>
  <c r="ML48" i="6" s="1"/>
  <c r="ML59" i="6" a="1"/>
  <c r="ML59" i="6" s="1"/>
  <c r="ML56" i="6" a="1"/>
  <c r="ML56" i="6" s="1"/>
  <c r="ML57" i="6" a="1"/>
  <c r="ML57" i="6" s="1"/>
  <c r="ML52" i="6" a="1"/>
  <c r="ML52" i="6" s="1"/>
  <c r="ML51" i="6" a="1"/>
  <c r="ML51" i="6" s="1"/>
  <c r="ML54" i="6" a="1"/>
  <c r="ML54" i="6" s="1"/>
  <c r="ML49" i="6" a="1"/>
  <c r="ML49" i="6" s="1"/>
  <c r="ML55" i="6" a="1"/>
  <c r="ML55" i="6" s="1"/>
  <c r="ML50" i="6" a="1"/>
  <c r="ML50" i="6" s="1"/>
  <c r="MA281" i="6"/>
  <c r="MD281" i="6" s="1"/>
  <c r="MA197" i="6"/>
  <c r="MD197" i="6" s="1"/>
  <c r="MA31" i="6"/>
  <c r="MD31" i="6" s="1"/>
  <c r="MA25" i="6"/>
  <c r="MD25" i="6" s="1"/>
  <c r="MA182" i="6"/>
  <c r="MD182" i="6" s="1"/>
  <c r="MA263" i="6"/>
  <c r="MD263" i="6" s="1"/>
  <c r="MA163" i="6"/>
  <c r="MD163" i="6" s="1"/>
  <c r="MA63" i="6"/>
  <c r="MD63" i="6" s="1"/>
  <c r="MA64" i="6"/>
  <c r="MD64" i="6" s="1"/>
  <c r="MA33" i="6"/>
  <c r="MD33" i="6" s="1"/>
  <c r="MA248" i="6"/>
  <c r="MD248" i="6" s="1"/>
  <c r="MA14" i="6"/>
  <c r="MD14" i="6" s="1"/>
  <c r="MA78" i="6"/>
  <c r="MD78" i="6" s="1"/>
  <c r="MA211" i="6"/>
  <c r="MD211" i="6" s="1"/>
  <c r="MA4" i="6"/>
  <c r="MD4" i="6" s="1"/>
  <c r="MA7" i="6"/>
  <c r="MD7" i="6" s="1"/>
  <c r="MA325" i="6"/>
  <c r="MD325" i="6" s="1"/>
  <c r="MA337" i="6"/>
  <c r="MD337" i="6" s="1"/>
  <c r="MA334" i="6"/>
  <c r="MD334" i="6" s="1"/>
  <c r="MA335" i="6"/>
  <c r="MD335" i="6" s="1"/>
  <c r="MA333" i="6"/>
  <c r="MD333" i="6" s="1"/>
  <c r="MA336" i="6"/>
  <c r="MD336" i="6" s="1"/>
  <c r="MA331" i="6"/>
  <c r="MD331" i="6" s="1"/>
  <c r="MA328" i="6"/>
  <c r="MD328" i="6" s="1"/>
  <c r="MA326" i="6"/>
  <c r="MD326" i="6" s="1"/>
  <c r="MA324" i="6"/>
  <c r="MD324" i="6" s="1"/>
  <c r="MA314" i="6"/>
  <c r="MD314" i="6" s="1"/>
  <c r="MA317" i="6"/>
  <c r="MD317" i="6" s="1"/>
  <c r="MA312" i="6"/>
  <c r="MD312" i="6" s="1"/>
  <c r="MA309" i="6"/>
  <c r="MD309" i="6" s="1"/>
  <c r="MA308" i="6"/>
  <c r="MD308" i="6" s="1"/>
  <c r="MA299" i="6"/>
  <c r="MD299" i="6" s="1"/>
  <c r="MA296" i="6"/>
  <c r="MD296" i="6" s="1"/>
  <c r="MA307" i="6"/>
  <c r="MD307" i="6" s="1"/>
  <c r="MA304" i="6"/>
  <c r="MD304" i="6" s="1"/>
  <c r="MA294" i="6"/>
  <c r="MD294" i="6" s="1"/>
  <c r="MA306" i="6"/>
  <c r="MD306" i="6" s="1"/>
  <c r="MA289" i="6"/>
  <c r="MD289" i="6" s="1"/>
  <c r="MA301" i="6"/>
  <c r="MD301" i="6" s="1"/>
  <c r="MA295" i="6"/>
  <c r="MD295" i="6" s="1"/>
  <c r="MA278" i="6"/>
  <c r="MD278" i="6" s="1"/>
  <c r="MA287" i="6"/>
  <c r="MD287" i="6" s="1"/>
  <c r="MA285" i="6"/>
  <c r="MD285" i="6" s="1"/>
  <c r="MA268" i="6"/>
  <c r="MD268" i="6" s="1"/>
  <c r="MA280" i="6"/>
  <c r="MD280" i="6" s="1"/>
  <c r="MA257" i="6"/>
  <c r="MD257" i="6" s="1"/>
  <c r="MA258" i="6"/>
  <c r="MD258" i="6" s="1"/>
  <c r="MA246" i="6"/>
  <c r="MD246" i="6" s="1"/>
  <c r="MA219" i="6"/>
  <c r="MD219" i="6" s="1"/>
  <c r="MA233" i="6"/>
  <c r="MD233" i="6" s="1"/>
  <c r="MA231" i="6"/>
  <c r="MD231" i="6" s="1"/>
  <c r="MA227" i="6"/>
  <c r="MD227" i="6" s="1"/>
  <c r="MA202" i="6"/>
  <c r="MD202" i="6" s="1"/>
  <c r="MA201" i="6"/>
  <c r="MD201" i="6" s="1"/>
  <c r="MA205" i="6"/>
  <c r="MD205" i="6" s="1"/>
  <c r="MA207" i="6"/>
  <c r="MD207" i="6" s="1"/>
  <c r="MA210" i="6"/>
  <c r="MD210" i="6" s="1"/>
  <c r="MA194" i="6"/>
  <c r="MD194" i="6" s="1"/>
  <c r="MA189" i="6"/>
  <c r="MD189" i="6" s="1"/>
  <c r="MA191" i="6"/>
  <c r="MD191" i="6" s="1"/>
  <c r="MA195" i="6"/>
  <c r="MD195" i="6" s="1"/>
  <c r="MA190" i="6"/>
  <c r="MD190" i="6" s="1"/>
  <c r="MA181" i="6"/>
  <c r="MD181" i="6" s="1"/>
  <c r="MA171" i="6"/>
  <c r="MD171" i="6" s="1"/>
  <c r="MA180" i="6"/>
  <c r="MD180" i="6" s="1"/>
  <c r="MA177" i="6"/>
  <c r="MD177" i="6" s="1"/>
  <c r="MA176" i="6"/>
  <c r="MD176" i="6" s="1"/>
  <c r="MA175" i="6"/>
  <c r="MD175" i="6" s="1"/>
  <c r="MA165" i="6"/>
  <c r="MD165" i="6" s="1"/>
  <c r="MA168" i="6"/>
  <c r="MD168" i="6" s="1"/>
  <c r="MA162" i="6"/>
  <c r="MD162" i="6" s="1"/>
  <c r="MA159" i="6"/>
  <c r="MD159" i="6" s="1"/>
  <c r="MA169" i="6"/>
  <c r="MD169" i="6" s="1"/>
  <c r="MA166" i="6"/>
  <c r="MD166" i="6" s="1"/>
  <c r="MA167" i="6"/>
  <c r="MD167" i="6" s="1"/>
  <c r="MA157" i="6"/>
  <c r="MD157" i="6" s="1"/>
  <c r="MA148" i="6"/>
  <c r="MD148" i="6" s="1"/>
  <c r="MA155" i="6"/>
  <c r="MD155" i="6" s="1"/>
  <c r="MA146" i="6"/>
  <c r="MD146" i="6" s="1"/>
  <c r="MA154" i="6"/>
  <c r="MD154" i="6" s="1"/>
  <c r="MA150" i="6"/>
  <c r="MD150" i="6" s="1"/>
  <c r="MA149" i="6"/>
  <c r="MD149" i="6" s="1"/>
  <c r="MA143" i="6"/>
  <c r="MD143" i="6" s="1"/>
  <c r="MA131" i="6"/>
  <c r="MD131" i="6" s="1"/>
  <c r="MA134" i="6"/>
  <c r="MD134" i="6" s="1"/>
  <c r="MA138" i="6"/>
  <c r="MD138" i="6" s="1"/>
  <c r="MA137" i="6"/>
  <c r="MD137" i="6" s="1"/>
  <c r="MA127" i="6"/>
  <c r="MD127" i="6" s="1"/>
  <c r="MA119" i="6"/>
  <c r="MD119" i="6" s="1"/>
  <c r="MA130" i="6"/>
  <c r="MD130" i="6" s="1"/>
  <c r="MA126" i="6"/>
  <c r="MD126" i="6" s="1"/>
  <c r="MA107" i="6"/>
  <c r="MD107" i="6" s="1"/>
  <c r="MA98" i="6"/>
  <c r="MD98" i="6" s="1"/>
  <c r="MA113" i="6"/>
  <c r="MD113" i="6" s="1"/>
  <c r="MA112" i="6"/>
  <c r="MD112" i="6" s="1"/>
  <c r="MA97" i="6"/>
  <c r="MD97" i="6" s="1"/>
  <c r="MA101" i="6"/>
  <c r="MD101" i="6" s="1"/>
  <c r="MA96" i="6"/>
  <c r="MD96" i="6" s="1"/>
  <c r="MA95" i="6"/>
  <c r="MD95" i="6" s="1"/>
  <c r="MA94" i="6"/>
  <c r="MD94" i="6" s="1"/>
  <c r="MA92" i="6"/>
  <c r="MD92" i="6" s="1"/>
  <c r="MA75" i="6"/>
  <c r="MD75" i="6" s="1"/>
  <c r="MA59" i="6"/>
  <c r="MD59" i="6" s="1"/>
  <c r="MA60" i="6"/>
  <c r="MD60" i="6" s="1"/>
  <c r="MA66" i="6"/>
  <c r="MD66" i="6" s="1"/>
  <c r="MA68" i="6"/>
  <c r="MD68" i="6" s="1"/>
  <c r="MA45" i="6"/>
  <c r="MD45" i="6" s="1"/>
  <c r="MA46" i="6"/>
  <c r="MD46" i="6" s="1"/>
  <c r="MA47" i="6"/>
  <c r="MD47" i="6" s="1"/>
  <c r="MA52" i="6"/>
  <c r="MD52" i="6" s="1"/>
  <c r="MA50" i="6"/>
  <c r="MD50" i="6" s="1"/>
  <c r="MA54" i="6"/>
  <c r="MD54" i="6" s="1"/>
  <c r="MA53" i="6"/>
  <c r="MD53" i="6" s="1"/>
  <c r="MA43" i="6"/>
  <c r="MD43" i="6" s="1"/>
  <c r="MA49" i="6"/>
  <c r="MD49" i="6" s="1"/>
  <c r="MA34" i="6"/>
  <c r="MD34" i="6" s="1"/>
  <c r="MA38" i="6"/>
  <c r="MD38" i="6" s="1"/>
  <c r="MA35" i="6"/>
  <c r="MD35" i="6" s="1"/>
  <c r="MA19" i="6"/>
  <c r="MD19" i="6" s="1"/>
  <c r="MA271" i="6"/>
  <c r="MD271" i="6" s="1"/>
  <c r="MA58" i="6"/>
  <c r="MD58" i="6" s="1"/>
  <c r="MA32" i="6"/>
  <c r="MD32" i="6" s="1"/>
  <c r="MA10" i="6"/>
  <c r="MD10" i="6" s="1"/>
  <c r="MA259" i="6"/>
  <c r="MD259" i="6" s="1"/>
  <c r="MA226" i="6"/>
  <c r="MD226" i="6" s="1"/>
  <c r="MA216" i="6"/>
  <c r="MD216" i="6" s="1"/>
  <c r="MA196" i="6"/>
  <c r="MD196" i="6" s="1"/>
  <c r="MA245" i="6"/>
  <c r="MD245" i="6" s="1"/>
  <c r="MA106" i="6"/>
  <c r="MD106" i="6" s="1"/>
  <c r="MA88" i="6"/>
  <c r="MD88" i="6" s="1"/>
  <c r="MA187" i="6"/>
  <c r="MD187" i="6" s="1"/>
  <c r="MA57" i="6"/>
  <c r="MD57" i="6" s="1"/>
  <c r="MA250" i="6"/>
  <c r="MD250" i="6" s="1"/>
  <c r="MA79" i="6"/>
  <c r="MD79" i="6" s="1"/>
  <c r="MA200" i="6"/>
  <c r="MD200" i="6" s="1"/>
  <c r="MA277" i="6"/>
  <c r="MD277" i="6" s="1"/>
  <c r="MA228" i="6"/>
  <c r="MD228" i="6" s="1"/>
  <c r="MA212" i="6"/>
  <c r="MD212" i="6" s="1"/>
  <c r="MA192" i="6"/>
  <c r="MD192" i="6" s="1"/>
  <c r="MA214" i="6"/>
  <c r="MD214" i="6" s="1"/>
  <c r="MA321" i="6"/>
  <c r="MD321" i="6" s="1"/>
  <c r="MA229" i="6"/>
  <c r="MD229" i="6" s="1"/>
  <c r="MA330" i="6"/>
  <c r="MD330" i="6" s="1"/>
  <c r="MA316" i="6"/>
  <c r="MD316" i="6" s="1"/>
  <c r="MA242" i="6"/>
  <c r="MD242" i="6" s="1"/>
  <c r="MA3" i="6"/>
  <c r="MD3" i="6" s="1"/>
  <c r="MA86" i="6"/>
  <c r="MD86" i="6" s="1"/>
  <c r="MA329" i="6"/>
  <c r="MD329" i="6" s="1"/>
  <c r="MA293" i="6"/>
  <c r="MD293" i="6" s="1"/>
  <c r="MA286" i="6"/>
  <c r="MD286" i="6" s="1"/>
  <c r="MA292" i="6"/>
  <c r="MD292" i="6" s="1"/>
  <c r="MA218" i="6"/>
  <c r="MD218" i="6" s="1"/>
  <c r="MA11" i="6"/>
  <c r="MD11" i="6" s="1"/>
  <c r="MA254" i="6"/>
  <c r="MD254" i="6" s="1"/>
  <c r="MA236" i="6"/>
  <c r="MD236" i="6" s="1"/>
  <c r="MA284" i="6"/>
  <c r="MD284" i="6" s="1"/>
  <c r="MA208" i="6"/>
  <c r="MD208" i="6" s="1"/>
  <c r="MA18" i="6"/>
  <c r="MD18" i="6" s="1"/>
  <c r="MA156" i="6"/>
  <c r="MD156" i="6" s="1"/>
  <c r="MA209" i="6"/>
  <c r="MD209" i="6" s="1"/>
  <c r="MA140" i="6"/>
  <c r="MD140" i="6" s="1"/>
  <c r="MA220" i="6"/>
  <c r="MD220" i="6" s="1"/>
  <c r="MA6" i="6"/>
  <c r="MD6" i="6" s="1"/>
  <c r="MA22" i="6"/>
  <c r="MD22" i="6" s="1"/>
  <c r="MA147" i="6"/>
  <c r="MD147" i="6" s="1"/>
  <c r="MA204" i="6"/>
  <c r="MD204" i="6" s="1"/>
  <c r="MA100" i="6"/>
  <c r="MD100" i="6" s="1"/>
  <c r="MA81" i="6"/>
  <c r="MD81" i="6" s="1"/>
  <c r="MA288" i="6"/>
  <c r="MD288" i="6" s="1"/>
  <c r="MA26" i="6"/>
  <c r="MD26" i="6" s="1"/>
  <c r="MA20" i="6"/>
  <c r="MD20" i="6" s="1"/>
  <c r="MA55" i="6"/>
  <c r="MD55" i="6" s="1"/>
  <c r="MA71" i="6"/>
  <c r="MD71" i="6" s="1"/>
  <c r="MA183" i="6"/>
  <c r="MD183" i="6" s="1"/>
  <c r="MA319" i="6"/>
  <c r="MD319" i="6" s="1"/>
  <c r="MA305" i="6"/>
  <c r="MD305" i="6" s="1"/>
  <c r="MA247" i="6"/>
  <c r="MD247" i="6" s="1"/>
  <c r="MA322" i="6"/>
  <c r="MD322" i="6" s="1"/>
  <c r="MA311" i="6"/>
  <c r="MD311" i="6" s="1"/>
  <c r="MA87" i="6"/>
  <c r="MD87" i="6" s="1"/>
  <c r="MA239" i="6"/>
  <c r="MD239" i="6" s="1"/>
  <c r="MA152" i="6"/>
  <c r="MD152" i="6" s="1"/>
  <c r="MA221" i="6"/>
  <c r="MD221" i="6" s="1"/>
  <c r="MA172" i="6"/>
  <c r="MD172" i="6" s="1"/>
  <c r="MA279" i="6"/>
  <c r="MD279" i="6" s="1"/>
  <c r="MA9" i="6"/>
  <c r="MD9" i="6" s="1"/>
  <c r="MA224" i="6"/>
  <c r="MD224" i="6" s="1"/>
  <c r="MA241" i="6"/>
  <c r="MD241" i="6" s="1"/>
  <c r="MA234" i="6"/>
  <c r="MD234" i="6" s="1"/>
  <c r="MA136" i="6"/>
  <c r="MD136" i="6" s="1"/>
  <c r="MA266" i="6"/>
  <c r="MD266" i="6" s="1"/>
  <c r="MA198" i="6"/>
  <c r="MD198" i="6" s="1"/>
  <c r="MA273" i="6"/>
  <c r="MD273" i="6" s="1"/>
  <c r="MA251" i="6"/>
  <c r="MD251" i="6" s="1"/>
  <c r="MA217" i="6"/>
  <c r="MD217" i="6" s="1"/>
  <c r="MA313" i="6"/>
  <c r="MD313" i="6" s="1"/>
  <c r="MA40" i="6"/>
  <c r="MD40" i="6" s="1"/>
  <c r="MA62" i="6"/>
  <c r="MD62" i="6" s="1"/>
  <c r="MA42" i="6"/>
  <c r="MD42" i="6" s="1"/>
  <c r="MA120" i="6"/>
  <c r="MD120" i="6" s="1"/>
  <c r="MA90" i="6"/>
  <c r="MD90" i="6" s="1"/>
  <c r="MA272" i="6"/>
  <c r="MD272" i="6" s="1"/>
  <c r="MA291" i="6"/>
  <c r="MD291" i="6" s="1"/>
  <c r="MA170" i="6"/>
  <c r="MD170" i="6" s="1"/>
  <c r="MA332" i="6"/>
  <c r="MD332" i="6" s="1"/>
  <c r="MA223" i="6"/>
  <c r="MD223" i="6" s="1"/>
  <c r="MA41" i="6"/>
  <c r="MD41" i="6" s="1"/>
  <c r="MA65" i="6"/>
  <c r="MD65" i="6" s="1"/>
  <c r="MA323" i="6"/>
  <c r="MD323" i="6" s="1"/>
  <c r="MA302" i="6"/>
  <c r="MD302" i="6" s="1"/>
  <c r="MA108" i="6"/>
  <c r="MD108" i="6" s="1"/>
  <c r="MA99" i="6"/>
  <c r="MD99" i="6" s="1"/>
  <c r="MA29" i="6"/>
  <c r="MD29" i="6" s="1"/>
  <c r="MA123" i="6"/>
  <c r="MD123" i="6" s="1"/>
  <c r="MA310" i="6"/>
  <c r="MD310" i="6" s="1"/>
  <c r="MA139" i="6"/>
  <c r="MD139" i="6" s="1"/>
  <c r="MA265" i="6"/>
  <c r="MD265" i="6" s="1"/>
  <c r="MA72" i="6"/>
  <c r="MD72" i="6" s="1"/>
  <c r="MA153" i="6"/>
  <c r="MD153" i="6" s="1"/>
  <c r="MA8" i="6"/>
  <c r="MD8" i="6" s="1"/>
  <c r="MA318" i="6"/>
  <c r="MD318" i="6" s="1"/>
  <c r="MA85" i="6"/>
  <c r="MD85" i="6" s="1"/>
  <c r="MA77" i="6"/>
  <c r="MD77" i="6" s="1"/>
  <c r="MA213" i="6"/>
  <c r="MD213" i="6" s="1"/>
  <c r="MA39" i="6"/>
  <c r="MD39" i="6" s="1"/>
  <c r="MA261" i="6"/>
  <c r="MD261" i="6" s="1"/>
  <c r="MA132" i="6"/>
  <c r="MD132" i="6" s="1"/>
  <c r="MA109" i="6"/>
  <c r="MD109" i="6" s="1"/>
  <c r="MA164" i="6"/>
  <c r="MD164" i="6" s="1"/>
  <c r="MA253" i="6"/>
  <c r="MD253" i="6" s="1"/>
  <c r="MA5" i="6"/>
  <c r="MD5" i="6" s="1"/>
  <c r="MA297" i="6"/>
  <c r="MD297" i="6" s="1"/>
  <c r="MA103" i="6"/>
  <c r="MD103" i="6" s="1"/>
  <c r="MA133" i="6"/>
  <c r="MD133" i="6" s="1"/>
  <c r="MA320" i="6"/>
  <c r="MD320" i="6" s="1"/>
  <c r="MA298" i="6"/>
  <c r="MD298" i="6" s="1"/>
  <c r="MA2" i="6"/>
  <c r="MD2" i="6" s="1"/>
  <c r="MA125" i="6"/>
  <c r="MD125" i="6" s="1"/>
  <c r="MA303" i="6"/>
  <c r="MD303" i="6" s="1"/>
  <c r="MA76" i="6"/>
  <c r="MD76" i="6" s="1"/>
  <c r="MA276" i="6"/>
  <c r="MD276" i="6" s="1"/>
  <c r="MA142" i="6"/>
  <c r="MD142" i="6" s="1"/>
  <c r="MA82" i="6"/>
  <c r="MD82" i="6" s="1"/>
  <c r="MA121" i="6"/>
  <c r="MD121" i="6" s="1"/>
  <c r="MA115" i="6"/>
  <c r="MD115" i="6" s="1"/>
  <c r="MA264" i="6"/>
  <c r="MD264" i="6" s="1"/>
  <c r="MA13" i="6"/>
  <c r="MD13" i="6" s="1"/>
  <c r="MA36" i="6"/>
  <c r="MD36" i="6" s="1"/>
  <c r="MA111" i="6"/>
  <c r="MD111" i="6" s="1"/>
  <c r="MA274" i="6"/>
  <c r="MD274" i="6" s="1"/>
  <c r="MA269" i="6"/>
  <c r="MD269" i="6" s="1"/>
  <c r="MA51" i="6"/>
  <c r="MD51" i="6" s="1"/>
  <c r="MA235" i="6"/>
  <c r="MD235" i="6" s="1"/>
  <c r="MA199" i="6"/>
  <c r="MD199" i="6" s="1"/>
  <c r="MA74" i="6"/>
  <c r="MD74" i="6" s="1"/>
  <c r="MA232" i="6"/>
  <c r="MD232" i="6" s="1"/>
  <c r="MA145" i="6"/>
  <c r="MD145" i="6" s="1"/>
  <c r="MA23" i="6"/>
  <c r="MD23" i="6" s="1"/>
  <c r="MA267" i="6"/>
  <c r="MD267" i="6" s="1"/>
  <c r="MA128" i="6"/>
  <c r="MD128" i="6" s="1"/>
  <c r="MA61" i="6"/>
  <c r="MD61" i="6" s="1"/>
  <c r="MA222" i="6"/>
  <c r="MD222" i="6" s="1"/>
  <c r="MA69" i="6"/>
  <c r="MD69" i="6" s="1"/>
  <c r="MA161" i="6"/>
  <c r="MD161" i="6" s="1"/>
  <c r="MA174" i="6"/>
  <c r="MD174" i="6" s="1"/>
  <c r="MA270" i="6"/>
  <c r="MD270" i="6" s="1"/>
  <c r="MA290" i="6"/>
  <c r="MD290" i="6" s="1"/>
  <c r="MA300" i="6"/>
  <c r="MD300" i="6" s="1"/>
  <c r="MA12" i="6"/>
  <c r="MD12" i="6" s="1"/>
  <c r="MA255" i="6"/>
  <c r="MD255" i="6" s="1"/>
  <c r="MA237" i="6"/>
  <c r="MD237" i="6" s="1"/>
  <c r="MA124" i="6"/>
  <c r="MD124" i="6" s="1"/>
  <c r="MA144" i="6"/>
  <c r="MD144" i="6" s="1"/>
  <c r="MA188" i="6"/>
  <c r="MD188" i="6" s="1"/>
  <c r="MA193" i="6"/>
  <c r="MD193" i="6" s="1"/>
  <c r="MA141" i="6"/>
  <c r="MD141" i="6" s="1"/>
  <c r="MA114" i="6"/>
  <c r="MD114" i="6" s="1"/>
  <c r="MA151" i="6"/>
  <c r="MD151" i="6" s="1"/>
  <c r="MA56" i="6"/>
  <c r="MD56" i="6" s="1"/>
  <c r="MA243" i="6"/>
  <c r="MD243" i="6" s="1"/>
  <c r="MA206" i="6"/>
  <c r="MD206" i="6" s="1"/>
  <c r="MA185" i="6"/>
  <c r="MD185" i="6" s="1"/>
  <c r="MA315" i="6"/>
  <c r="MD315" i="6" s="1"/>
  <c r="MA327" i="6"/>
  <c r="MD327" i="6" s="1"/>
  <c r="MA93" i="6"/>
  <c r="MD93" i="6" s="1"/>
  <c r="MA80" i="6"/>
  <c r="MD80" i="6" s="1"/>
  <c r="MA104" i="6"/>
  <c r="MD104" i="6" s="1"/>
  <c r="MA186" i="6"/>
  <c r="MD186" i="6" s="1"/>
  <c r="MA129" i="6"/>
  <c r="MD129" i="6" s="1"/>
  <c r="MA230" i="6"/>
  <c r="MD230" i="6" s="1"/>
  <c r="MA179" i="6"/>
  <c r="MD179" i="6" s="1"/>
  <c r="MA135" i="6"/>
  <c r="MD135" i="6" s="1"/>
  <c r="MA15" i="6"/>
  <c r="MD15" i="6" s="1"/>
  <c r="MA238" i="6"/>
  <c r="MD238" i="6" s="1"/>
  <c r="MA21" i="6"/>
  <c r="MD21" i="6" s="1"/>
  <c r="MA84" i="6"/>
  <c r="MD84" i="6" s="1"/>
  <c r="MA48" i="6"/>
  <c r="MD48" i="6" s="1"/>
  <c r="MA283" i="6"/>
  <c r="MD283" i="6" s="1"/>
  <c r="MA240" i="6"/>
  <c r="MD240" i="6" s="1"/>
  <c r="MA158" i="6"/>
  <c r="MD158" i="6" s="1"/>
  <c r="MA275" i="6"/>
  <c r="MD275" i="6" s="1"/>
  <c r="MA225" i="6"/>
  <c r="MD225" i="6" s="1"/>
  <c r="MA67" i="6"/>
  <c r="MD67" i="6" s="1"/>
  <c r="MA160" i="6"/>
  <c r="MD160" i="6" s="1"/>
  <c r="MA256" i="6"/>
  <c r="MD256" i="6" s="1"/>
  <c r="MA37" i="6"/>
  <c r="MD37" i="6" s="1"/>
  <c r="MN48" i="6" l="1"/>
  <c r="MM48" i="6"/>
  <c r="MN49" i="6"/>
  <c r="MM49" i="6"/>
  <c r="MN57" i="6"/>
  <c r="MM57" i="6"/>
  <c r="MN53" i="6"/>
  <c r="MM53" i="6"/>
  <c r="NA55" i="6" a="1"/>
  <c r="NA55" i="6" s="1"/>
  <c r="NA50" i="6" a="1"/>
  <c r="NA50" i="6" s="1"/>
  <c r="NA58" i="6" a="1"/>
  <c r="NA58" i="6" s="1"/>
  <c r="NA59" i="6" a="1"/>
  <c r="NA59" i="6" s="1"/>
  <c r="NA54" i="6" a="1"/>
  <c r="NA54" i="6" s="1"/>
  <c r="NA49" i="6" a="1"/>
  <c r="NA49" i="6" s="1"/>
  <c r="NA48" i="6" a="1"/>
  <c r="NA48" i="6" s="1"/>
  <c r="NA57" i="6" a="1"/>
  <c r="NA57" i="6" s="1"/>
  <c r="NA56" i="6" a="1"/>
  <c r="NA56" i="6" s="1"/>
  <c r="NA51" i="6" a="1"/>
  <c r="NA51" i="6" s="1"/>
  <c r="NA53" i="6" a="1"/>
  <c r="NA53" i="6" s="1"/>
  <c r="NA52" i="6" a="1"/>
  <c r="NA52" i="6" s="1"/>
  <c r="MM54" i="6"/>
  <c r="MN54" i="6"/>
  <c r="MN56" i="6"/>
  <c r="MM56" i="6"/>
  <c r="MN58" i="6"/>
  <c r="MM58" i="6"/>
  <c r="MU58" i="6" a="1"/>
  <c r="MU58" i="6" s="1"/>
  <c r="MU53" i="6" a="1"/>
  <c r="MU53" i="6" s="1"/>
  <c r="MU59" i="6" a="1"/>
  <c r="MU59" i="6" s="1"/>
  <c r="MU57" i="6" a="1"/>
  <c r="MU57" i="6" s="1"/>
  <c r="MU52" i="6" a="1"/>
  <c r="MU52" i="6" s="1"/>
  <c r="MU50" i="6" a="1"/>
  <c r="MU50" i="6" s="1"/>
  <c r="MU55" i="6" a="1"/>
  <c r="MU55" i="6" s="1"/>
  <c r="MU54" i="6" a="1"/>
  <c r="MU54" i="6" s="1"/>
  <c r="MU49" i="6" a="1"/>
  <c r="MU49" i="6" s="1"/>
  <c r="MU48" i="6" a="1"/>
  <c r="MU48" i="6" s="1"/>
  <c r="MU56" i="6" a="1"/>
  <c r="MU56" i="6" s="1"/>
  <c r="MU51" i="6" a="1"/>
  <c r="MU51" i="6" s="1"/>
  <c r="MN50" i="6"/>
  <c r="MM50" i="6"/>
  <c r="MN51" i="6"/>
  <c r="MM51" i="6"/>
  <c r="MN59" i="6"/>
  <c r="MM59" i="6"/>
  <c r="MR59" i="6" a="1"/>
  <c r="MR59" i="6" s="1"/>
  <c r="MR55" i="6" a="1"/>
  <c r="MR55" i="6" s="1"/>
  <c r="MR50" i="6" a="1"/>
  <c r="MR50" i="6" s="1"/>
  <c r="MR54" i="6" a="1"/>
  <c r="MR54" i="6" s="1"/>
  <c r="MR53" i="6" a="1"/>
  <c r="MR53" i="6" s="1"/>
  <c r="MR48" i="6" a="1"/>
  <c r="MR48" i="6" s="1"/>
  <c r="MR52" i="6" a="1"/>
  <c r="MR52" i="6" s="1"/>
  <c r="MR56" i="6" a="1"/>
  <c r="MR56" i="6" s="1"/>
  <c r="MR51" i="6" a="1"/>
  <c r="MR51" i="6" s="1"/>
  <c r="MR49" i="6" a="1"/>
  <c r="MR49" i="6" s="1"/>
  <c r="MR58" i="6" a="1"/>
  <c r="MR58" i="6" s="1"/>
  <c r="MR57" i="6" a="1"/>
  <c r="MR57" i="6" s="1"/>
  <c r="MO57" i="6" a="1"/>
  <c r="MO57" i="6" s="1"/>
  <c r="MO56" i="6" a="1"/>
  <c r="MO56" i="6" s="1"/>
  <c r="MO51" i="6" a="1"/>
  <c r="MO51" i="6" s="1"/>
  <c r="MO48" i="6" a="1"/>
  <c r="MO48" i="6" s="1"/>
  <c r="MO59" i="6" a="1"/>
  <c r="MO59" i="6" s="1"/>
  <c r="MO55" i="6" a="1"/>
  <c r="MO55" i="6" s="1"/>
  <c r="MO50" i="6" a="1"/>
  <c r="MO50" i="6" s="1"/>
  <c r="MO54" i="6" a="1"/>
  <c r="MO54" i="6" s="1"/>
  <c r="MO49" i="6" a="1"/>
  <c r="MO49" i="6" s="1"/>
  <c r="MO58" i="6" a="1"/>
  <c r="MO58" i="6" s="1"/>
  <c r="MO53" i="6" a="1"/>
  <c r="MO53" i="6" s="1"/>
  <c r="MO52" i="6" a="1"/>
  <c r="MO52" i="6" s="1"/>
  <c r="MN55" i="6"/>
  <c r="MM55" i="6"/>
  <c r="MN52" i="6"/>
  <c r="MM52" i="6"/>
  <c r="MX59" i="6" a="1"/>
  <c r="MX59" i="6" s="1"/>
  <c r="MX57" i="6" a="1"/>
  <c r="MX57" i="6" s="1"/>
  <c r="MX52" i="6" a="1"/>
  <c r="MX52" i="6" s="1"/>
  <c r="MX51" i="6" a="1"/>
  <c r="MX51" i="6" s="1"/>
  <c r="MX54" i="6" a="1"/>
  <c r="MX54" i="6" s="1"/>
  <c r="MX49" i="6" a="1"/>
  <c r="MX49" i="6" s="1"/>
  <c r="MX56" i="6" a="1"/>
  <c r="MX56" i="6" s="1"/>
  <c r="MX55" i="6" a="1"/>
  <c r="MX55" i="6" s="1"/>
  <c r="MX50" i="6" a="1"/>
  <c r="MX50" i="6" s="1"/>
  <c r="MX58" i="6" a="1"/>
  <c r="MX58" i="6" s="1"/>
  <c r="MX53" i="6" a="1"/>
  <c r="MX53" i="6" s="1"/>
  <c r="MX48" i="6" a="1"/>
  <c r="MX48" i="6" s="1"/>
  <c r="MI55" i="6" a="1"/>
  <c r="MI55" i="6" s="1"/>
  <c r="MI54" i="6" a="1"/>
  <c r="MI54" i="6" s="1"/>
  <c r="MI49" i="6" a="1"/>
  <c r="MI49" i="6" s="1"/>
  <c r="MI57" i="6" a="1"/>
  <c r="MI57" i="6" s="1"/>
  <c r="MI52" i="6" a="1"/>
  <c r="MI52" i="6" s="1"/>
  <c r="MI59" i="6" a="1"/>
  <c r="MI59" i="6" s="1"/>
  <c r="MI58" i="6" a="1"/>
  <c r="MI58" i="6" s="1"/>
  <c r="MI53" i="6" a="1"/>
  <c r="MI53" i="6" s="1"/>
  <c r="MI56" i="6" a="1"/>
  <c r="MI56" i="6" s="1"/>
  <c r="MI51" i="6" a="1"/>
  <c r="MI51" i="6" s="1"/>
  <c r="MI50" i="6" a="1"/>
  <c r="MI50" i="6" s="1"/>
  <c r="MI48" i="6" a="1"/>
  <c r="MI48" i="6" s="1"/>
  <c r="MZ52" i="6" l="1"/>
  <c r="MY52" i="6"/>
  <c r="MK48" i="6"/>
  <c r="MJ48" i="6"/>
  <c r="MK53" i="6"/>
  <c r="MJ53" i="6"/>
  <c r="MJ57" i="6"/>
  <c r="MK57" i="6"/>
  <c r="MZ48" i="6"/>
  <c r="MY48" i="6"/>
  <c r="MZ55" i="6"/>
  <c r="MY55" i="6"/>
  <c r="MZ51" i="6"/>
  <c r="MY51" i="6"/>
  <c r="MP52" i="6"/>
  <c r="MQ52" i="6"/>
  <c r="MP54" i="6"/>
  <c r="MQ54" i="6"/>
  <c r="MQ48" i="6"/>
  <c r="MP48" i="6"/>
  <c r="MT57" i="6"/>
  <c r="MS57" i="6"/>
  <c r="MT56" i="6"/>
  <c r="MS56" i="6"/>
  <c r="MT54" i="6"/>
  <c r="MS54" i="6"/>
  <c r="MW48" i="6"/>
  <c r="MV48" i="6"/>
  <c r="MW50" i="6"/>
  <c r="MV50" i="6"/>
  <c r="MW53" i="6"/>
  <c r="MV53" i="6"/>
  <c r="NC52" i="6"/>
  <c r="NB52" i="6"/>
  <c r="NC57" i="6"/>
  <c r="NB57" i="6"/>
  <c r="NC59" i="6"/>
  <c r="NB59" i="6"/>
  <c r="MK50" i="6"/>
  <c r="MJ50" i="6"/>
  <c r="NC48" i="6"/>
  <c r="NB48" i="6"/>
  <c r="NB58" i="6"/>
  <c r="NC58" i="6"/>
  <c r="MK49" i="6"/>
  <c r="MJ49" i="6"/>
  <c r="MZ56" i="6"/>
  <c r="MY56" i="6"/>
  <c r="MQ53" i="6"/>
  <c r="MP53" i="6"/>
  <c r="MP51" i="6"/>
  <c r="MQ51" i="6"/>
  <c r="MS52" i="6"/>
  <c r="MT52" i="6"/>
  <c r="MV49" i="6"/>
  <c r="MW49" i="6"/>
  <c r="MW52" i="6"/>
  <c r="MV52" i="6"/>
  <c r="MV58" i="6"/>
  <c r="MW58" i="6"/>
  <c r="NC53" i="6"/>
  <c r="NB53" i="6"/>
  <c r="MK51" i="6"/>
  <c r="MJ51" i="6"/>
  <c r="MK59" i="6"/>
  <c r="MJ59" i="6"/>
  <c r="MK54" i="6"/>
  <c r="MJ54" i="6"/>
  <c r="MY58" i="6"/>
  <c r="MZ58" i="6"/>
  <c r="MY49" i="6"/>
  <c r="MZ49" i="6"/>
  <c r="MZ57" i="6"/>
  <c r="MY57" i="6"/>
  <c r="MQ58" i="6"/>
  <c r="MP58" i="6"/>
  <c r="MP55" i="6"/>
  <c r="MQ55" i="6"/>
  <c r="MQ56" i="6"/>
  <c r="MP56" i="6"/>
  <c r="MT49" i="6"/>
  <c r="MS49" i="6"/>
  <c r="MT48" i="6"/>
  <c r="MS48" i="6"/>
  <c r="MT55" i="6"/>
  <c r="MS55" i="6"/>
  <c r="MW51" i="6"/>
  <c r="MV51" i="6"/>
  <c r="MW54" i="6"/>
  <c r="MV54" i="6"/>
  <c r="MW57" i="6"/>
  <c r="MV57" i="6"/>
  <c r="NC51" i="6"/>
  <c r="NB51" i="6"/>
  <c r="NC49" i="6"/>
  <c r="NB49" i="6"/>
  <c r="NC50" i="6"/>
  <c r="NB50" i="6"/>
  <c r="MK58" i="6"/>
  <c r="MJ58" i="6"/>
  <c r="MZ53" i="6"/>
  <c r="MY53" i="6"/>
  <c r="MQ50" i="6"/>
  <c r="MP50" i="6"/>
  <c r="MT58" i="6"/>
  <c r="MS58" i="6"/>
  <c r="MT50" i="6"/>
  <c r="MS50" i="6"/>
  <c r="MK56" i="6"/>
  <c r="MJ56" i="6"/>
  <c r="MK52" i="6"/>
  <c r="MJ52" i="6"/>
  <c r="MK55" i="6"/>
  <c r="MJ55" i="6"/>
  <c r="MZ50" i="6"/>
  <c r="MY50" i="6"/>
  <c r="MZ54" i="6"/>
  <c r="MY54" i="6"/>
  <c r="MZ59" i="6"/>
  <c r="MY59" i="6"/>
  <c r="MQ49" i="6"/>
  <c r="MP49" i="6"/>
  <c r="MQ59" i="6"/>
  <c r="MP59" i="6"/>
  <c r="MQ57" i="6"/>
  <c r="MP57" i="6"/>
  <c r="MT51" i="6"/>
  <c r="MS51" i="6"/>
  <c r="MT53" i="6"/>
  <c r="MS53" i="6"/>
  <c r="MT59" i="6"/>
  <c r="MS59" i="6"/>
  <c r="MW56" i="6"/>
  <c r="MV56" i="6"/>
  <c r="MW55" i="6"/>
  <c r="MV55" i="6"/>
  <c r="MW59" i="6"/>
  <c r="MV59" i="6"/>
  <c r="NB56" i="6"/>
  <c r="NC56" i="6"/>
  <c r="NC54" i="6"/>
  <c r="NB54" i="6"/>
  <c r="NB55" i="6"/>
  <c r="NC55" i="6"/>
</calcChain>
</file>

<file path=xl/sharedStrings.xml><?xml version="1.0" encoding="utf-8"?>
<sst xmlns="http://schemas.openxmlformats.org/spreadsheetml/2006/main" count="387" uniqueCount="361">
  <si>
    <t>Shift 1</t>
  </si>
  <si>
    <t>Shift 2</t>
  </si>
  <si>
    <t>Shift 3</t>
  </si>
  <si>
    <t>Shift 4</t>
  </si>
  <si>
    <t>Shift 5</t>
  </si>
  <si>
    <t>Shift 6</t>
  </si>
  <si>
    <t>Shift 7</t>
  </si>
  <si>
    <t>Shift 8</t>
  </si>
  <si>
    <t>Shift 9</t>
  </si>
  <si>
    <t>Shift 10</t>
  </si>
  <si>
    <t>Shift 11</t>
  </si>
  <si>
    <t>Shift 12</t>
  </si>
  <si>
    <t>Shift 13</t>
  </si>
  <si>
    <t>Shift 14</t>
  </si>
  <si>
    <t>Shift 15</t>
  </si>
  <si>
    <t>Shift 16</t>
  </si>
  <si>
    <t>Shift 17</t>
  </si>
  <si>
    <t>Shift 18</t>
  </si>
  <si>
    <t>Shift 19</t>
  </si>
  <si>
    <t>Shift 20</t>
  </si>
  <si>
    <t>Shift 21</t>
  </si>
  <si>
    <t>Shift 22</t>
  </si>
  <si>
    <t>Shift 23</t>
  </si>
  <si>
    <t>Shift 24</t>
  </si>
  <si>
    <t>Shift 25</t>
  </si>
  <si>
    <t>Shift 26</t>
  </si>
  <si>
    <t>Shift 27</t>
  </si>
  <si>
    <t>Shift 28</t>
  </si>
  <si>
    <t>Shift 29</t>
  </si>
  <si>
    <t>Shift 30</t>
  </si>
  <si>
    <t>Shift 31</t>
  </si>
  <si>
    <t>Shift 32</t>
  </si>
  <si>
    <t>Shift 33</t>
  </si>
  <si>
    <t>Shift 34</t>
  </si>
  <si>
    <t>Shift 35</t>
  </si>
  <si>
    <t>Shift 36</t>
  </si>
  <si>
    <t>Shift 37</t>
  </si>
  <si>
    <t>Shift 38</t>
  </si>
  <si>
    <t>Shift 39</t>
  </si>
  <si>
    <t>Shift 40</t>
  </si>
  <si>
    <t>Shift 41</t>
  </si>
  <si>
    <t>Shift 42</t>
  </si>
  <si>
    <t>Shift 43</t>
  </si>
  <si>
    <t>Shift 44</t>
  </si>
  <si>
    <t>Shift 45</t>
  </si>
  <si>
    <t>Shift 46</t>
  </si>
  <si>
    <t>Shift 47</t>
  </si>
  <si>
    <t>Shift 48</t>
  </si>
  <si>
    <t>Shift 49</t>
  </si>
  <si>
    <t>Shift 50</t>
  </si>
  <si>
    <t>Shift 51</t>
  </si>
  <si>
    <t>Shift 52</t>
  </si>
  <si>
    <t>Shift 53</t>
  </si>
  <si>
    <t>Shift 54</t>
  </si>
  <si>
    <t>Shift 55</t>
  </si>
  <si>
    <t>Shift 56</t>
  </si>
  <si>
    <t>Shift 57</t>
  </si>
  <si>
    <t>Shift 58</t>
  </si>
  <si>
    <t>Shift 59</t>
  </si>
  <si>
    <t>Shift 60</t>
  </si>
  <si>
    <t>Shift 61</t>
  </si>
  <si>
    <t>Shift 62</t>
  </si>
  <si>
    <t>Shift 63</t>
  </si>
  <si>
    <t>Shift 64</t>
  </si>
  <si>
    <t>Shift 65</t>
  </si>
  <si>
    <t>Shift 66</t>
  </si>
  <si>
    <t>Shift 67</t>
  </si>
  <si>
    <t>Shift 68</t>
  </si>
  <si>
    <t>Shift 69</t>
  </si>
  <si>
    <t>Shift 70</t>
  </si>
  <si>
    <t>Shift 71</t>
  </si>
  <si>
    <t>Shift 72</t>
  </si>
  <si>
    <t>Shift 73</t>
  </si>
  <si>
    <t>Shift 74</t>
  </si>
  <si>
    <t>Shift 75</t>
  </si>
  <si>
    <t>Shift 76</t>
  </si>
  <si>
    <t>Shift 77</t>
  </si>
  <si>
    <t>Shift 78</t>
  </si>
  <si>
    <t>Shift 79</t>
  </si>
  <si>
    <t>Shift 80</t>
  </si>
  <si>
    <t>Shift 81</t>
  </si>
  <si>
    <t>Shift 82</t>
  </si>
  <si>
    <t>Shift 83</t>
  </si>
  <si>
    <t>Shift 84</t>
  </si>
  <si>
    <t>Shift 85</t>
  </si>
  <si>
    <t>Shift 86</t>
  </si>
  <si>
    <t>Shift 87</t>
  </si>
  <si>
    <t>Shift 88</t>
  </si>
  <si>
    <t>Shift 89</t>
  </si>
  <si>
    <t>Shift 90</t>
  </si>
  <si>
    <t>Shift 91</t>
  </si>
  <si>
    <t>Shift 92</t>
  </si>
  <si>
    <t>Shift 93</t>
  </si>
  <si>
    <t>Shift 94</t>
  </si>
  <si>
    <t>Shift 95</t>
  </si>
  <si>
    <t>Shift 96</t>
  </si>
  <si>
    <t>Shift 97</t>
  </si>
  <si>
    <t>Shift 98</t>
  </si>
  <si>
    <t>Shift 99</t>
  </si>
  <si>
    <t>Shift 100</t>
  </si>
  <si>
    <t>Shift 101</t>
  </si>
  <si>
    <t>Shift 102</t>
  </si>
  <si>
    <t>Shift 103</t>
  </si>
  <si>
    <t>Shift 104</t>
  </si>
  <si>
    <t>Shift 105</t>
  </si>
  <si>
    <t>Shift 106</t>
  </si>
  <si>
    <t>Shift 107</t>
  </si>
  <si>
    <t>Shift 108</t>
  </si>
  <si>
    <t>Shift 109</t>
  </si>
  <si>
    <t>Shift 110</t>
  </si>
  <si>
    <t>Shift 111</t>
  </si>
  <si>
    <t>Shift 112</t>
  </si>
  <si>
    <t>Shift 113</t>
  </si>
  <si>
    <t>Shift 114</t>
  </si>
  <si>
    <t>Shift 115</t>
  </si>
  <si>
    <t>Shift 116</t>
  </si>
  <si>
    <t>Shift 117</t>
  </si>
  <si>
    <t>Shift 118</t>
  </si>
  <si>
    <t>Shift 119</t>
  </si>
  <si>
    <t>Shift 120</t>
  </si>
  <si>
    <t>Shift 121</t>
  </si>
  <si>
    <t>Shift 122</t>
  </si>
  <si>
    <t>Shift 123</t>
  </si>
  <si>
    <t>Shift 124</t>
  </si>
  <si>
    <t>Shift 125</t>
  </si>
  <si>
    <t>Shift 126</t>
  </si>
  <si>
    <t>Shift 127</t>
  </si>
  <si>
    <t>Shift 128</t>
  </si>
  <si>
    <t>Shift 129</t>
  </si>
  <si>
    <t>Shift 130</t>
  </si>
  <si>
    <t>Shift 131</t>
  </si>
  <si>
    <t>Shift 132</t>
  </si>
  <si>
    <t>Shift 133</t>
  </si>
  <si>
    <t>Shift 134</t>
  </si>
  <si>
    <t>Shift 135</t>
  </si>
  <si>
    <t>Shift 136</t>
  </si>
  <si>
    <t>Shift 137</t>
  </si>
  <si>
    <t>Shift 138</t>
  </si>
  <si>
    <t>Shift 139</t>
  </si>
  <si>
    <t>Shift 140</t>
  </si>
  <si>
    <t>Shift 141</t>
  </si>
  <si>
    <t>Shift 142</t>
  </si>
  <si>
    <t>Shift 143</t>
  </si>
  <si>
    <t>Shift 144</t>
  </si>
  <si>
    <t>Shift 145</t>
  </si>
  <si>
    <t>Shift 146</t>
  </si>
  <si>
    <t>Shift 147</t>
  </si>
  <si>
    <t>Shift 148</t>
  </si>
  <si>
    <t>Shift 149</t>
  </si>
  <si>
    <t>Shift 150</t>
  </si>
  <si>
    <t>Shift 151</t>
  </si>
  <si>
    <t>Shift 152</t>
  </si>
  <si>
    <t>Shift 153</t>
  </si>
  <si>
    <t>Shift 154</t>
  </si>
  <si>
    <t>Shift 155</t>
  </si>
  <si>
    <t>Shift 156</t>
  </si>
  <si>
    <t>Shift 157</t>
  </si>
  <si>
    <t>Shift 158</t>
  </si>
  <si>
    <t>Shift 159</t>
  </si>
  <si>
    <t>Shift 160</t>
  </si>
  <si>
    <t>Shift 161</t>
  </si>
  <si>
    <t>Shift 162</t>
  </si>
  <si>
    <t>Shift 163</t>
  </si>
  <si>
    <t>Shift 164</t>
  </si>
  <si>
    <t>Shift 165</t>
  </si>
  <si>
    <t>Shift 166</t>
  </si>
  <si>
    <t>Shift 167</t>
  </si>
  <si>
    <t>Shift 168</t>
  </si>
  <si>
    <t>Load</t>
  </si>
  <si>
    <t>x-</t>
  </si>
  <si>
    <t>x+</t>
  </si>
  <si>
    <t>Schedules</t>
  </si>
  <si>
    <t>Capacity</t>
  </si>
  <si>
    <t>Difference</t>
  </si>
  <si>
    <t>Sunday</t>
  </si>
  <si>
    <t>N</t>
  </si>
  <si>
    <t>Monday</t>
  </si>
  <si>
    <t>Tuesday</t>
  </si>
  <si>
    <t>Wednesday</t>
  </si>
  <si>
    <t>Thursday</t>
  </si>
  <si>
    <t>Friday</t>
  </si>
  <si>
    <t>Saturday</t>
  </si>
  <si>
    <t>Start</t>
  </si>
  <si>
    <t>End</t>
  </si>
  <si>
    <t>Required Schedules</t>
  </si>
  <si>
    <t>x+ - x- + x</t>
  </si>
  <si>
    <t>x+ - x-</t>
  </si>
  <si>
    <t>Shift 169</t>
  </si>
  <si>
    <t>Shift 170</t>
  </si>
  <si>
    <t>Shift 171</t>
  </si>
  <si>
    <t>Shift 172</t>
  </si>
  <si>
    <t>Shift 173</t>
  </si>
  <si>
    <t>Shift 174</t>
  </si>
  <si>
    <t>Shift 175</t>
  </si>
  <si>
    <t>Shift 176</t>
  </si>
  <si>
    <t>Shift 177</t>
  </si>
  <si>
    <t>Shift 178</t>
  </si>
  <si>
    <t>Shift 179</t>
  </si>
  <si>
    <t>Shift 180</t>
  </si>
  <si>
    <t>Shift 181</t>
  </si>
  <si>
    <t>Shift 182</t>
  </si>
  <si>
    <t>Shift 183</t>
  </si>
  <si>
    <t>Shift 184</t>
  </si>
  <si>
    <t>Shift 185</t>
  </si>
  <si>
    <t>Shift 186</t>
  </si>
  <si>
    <t>Shift 187</t>
  </si>
  <si>
    <t>Shift 188</t>
  </si>
  <si>
    <t>Shift 189</t>
  </si>
  <si>
    <t>Shift 190</t>
  </si>
  <si>
    <t>Shift 191</t>
  </si>
  <si>
    <t>Shift 192</t>
  </si>
  <si>
    <t>Shift 193</t>
  </si>
  <si>
    <t>Shift 194</t>
  </si>
  <si>
    <t>Shift 195</t>
  </si>
  <si>
    <t>Shift 196</t>
  </si>
  <si>
    <t>Shift 197</t>
  </si>
  <si>
    <t>Shift 198</t>
  </si>
  <si>
    <t>Shift 199</t>
  </si>
  <si>
    <t>Shift 200</t>
  </si>
  <si>
    <t>Shift 201</t>
  </si>
  <si>
    <t>Shift 202</t>
  </si>
  <si>
    <t>Shift 203</t>
  </si>
  <si>
    <t>Shift 204</t>
  </si>
  <si>
    <t>Shift 205</t>
  </si>
  <si>
    <t>Shift 206</t>
  </si>
  <si>
    <t>Shift 207</t>
  </si>
  <si>
    <t>Shift 208</t>
  </si>
  <si>
    <t>Shift 209</t>
  </si>
  <si>
    <t>Shift 210</t>
  </si>
  <si>
    <t>Shift 211</t>
  </si>
  <si>
    <t>Shift 212</t>
  </si>
  <si>
    <t>Shift 213</t>
  </si>
  <si>
    <t>Shift 214</t>
  </si>
  <si>
    <t>Shift 215</t>
  </si>
  <si>
    <t>Shift 216</t>
  </si>
  <si>
    <t>Shift 217</t>
  </si>
  <si>
    <t>Shift 218</t>
  </si>
  <si>
    <t>Shift 219</t>
  </si>
  <si>
    <t>Shift 220</t>
  </si>
  <si>
    <t>Shift 221</t>
  </si>
  <si>
    <t>Shift 222</t>
  </si>
  <si>
    <t>Shift 223</t>
  </si>
  <si>
    <t>Shift 224</t>
  </si>
  <si>
    <t>Shift 225</t>
  </si>
  <si>
    <t>Shift 226</t>
  </si>
  <si>
    <t>Shift 227</t>
  </si>
  <si>
    <t>Shift 228</t>
  </si>
  <si>
    <t>Shift 229</t>
  </si>
  <si>
    <t>Shift 230</t>
  </si>
  <si>
    <t>Shift 231</t>
  </si>
  <si>
    <t>Shift 232</t>
  </si>
  <si>
    <t>Shift 233</t>
  </si>
  <si>
    <t>Shift 234</t>
  </si>
  <si>
    <t>Shift 235</t>
  </si>
  <si>
    <t>Shift 236</t>
  </si>
  <si>
    <t>Shift 237</t>
  </si>
  <si>
    <t>Shift 238</t>
  </si>
  <si>
    <t>Shift 239</t>
  </si>
  <si>
    <t>Shift 240</t>
  </si>
  <si>
    <t>Shift 241</t>
  </si>
  <si>
    <t>Shift 242</t>
  </si>
  <si>
    <t>Shift 243</t>
  </si>
  <si>
    <t>Shift 244</t>
  </si>
  <si>
    <t>Shift 245</t>
  </si>
  <si>
    <t>Shift 246</t>
  </si>
  <si>
    <t>Shift 247</t>
  </si>
  <si>
    <t>Shift 248</t>
  </si>
  <si>
    <t>Shift 249</t>
  </si>
  <si>
    <t>Shift 250</t>
  </si>
  <si>
    <t>Shift 251</t>
  </si>
  <si>
    <t>Shift 252</t>
  </si>
  <si>
    <t>Shift 253</t>
  </si>
  <si>
    <t>Shift 254</t>
  </si>
  <si>
    <t>Shift 255</t>
  </si>
  <si>
    <t>Shift 256</t>
  </si>
  <si>
    <t>Shift 257</t>
  </si>
  <si>
    <t>Shift 258</t>
  </si>
  <si>
    <t>Shift 259</t>
  </si>
  <si>
    <t>Shift 260</t>
  </si>
  <si>
    <t>Shift 261</t>
  </si>
  <si>
    <t>Shift 262</t>
  </si>
  <si>
    <t>Shift 263</t>
  </si>
  <si>
    <t>Shift 264</t>
  </si>
  <si>
    <t>Shift 265</t>
  </si>
  <si>
    <t>Shift 266</t>
  </si>
  <si>
    <t>Shift 267</t>
  </si>
  <si>
    <t>Shift 268</t>
  </si>
  <si>
    <t>Shift 269</t>
  </si>
  <si>
    <t>Shift 270</t>
  </si>
  <si>
    <t>Shift 271</t>
  </si>
  <si>
    <t>Shift 272</t>
  </si>
  <si>
    <t>Shift 273</t>
  </si>
  <si>
    <t>Shift 274</t>
  </si>
  <si>
    <t>Shift 275</t>
  </si>
  <si>
    <t>Shift 276</t>
  </si>
  <si>
    <t>Shift 277</t>
  </si>
  <si>
    <t>Shift 278</t>
  </si>
  <si>
    <t>Shift 279</t>
  </si>
  <si>
    <t>Shift 280</t>
  </si>
  <si>
    <t>Shift 281</t>
  </si>
  <si>
    <t>Shift 282</t>
  </si>
  <si>
    <t>Shift 283</t>
  </si>
  <si>
    <t>Shift 284</t>
  </si>
  <si>
    <t>Shift 285</t>
  </si>
  <si>
    <t>Shift 286</t>
  </si>
  <si>
    <t>Shift 287</t>
  </si>
  <si>
    <t>Shift 288</t>
  </si>
  <si>
    <t>Shift 289</t>
  </si>
  <si>
    <t>Shift 290</t>
  </si>
  <si>
    <t>Shift 291</t>
  </si>
  <si>
    <t>Shift 292</t>
  </si>
  <si>
    <t>Shift 293</t>
  </si>
  <si>
    <t>Shift 294</t>
  </si>
  <si>
    <t>Shift 295</t>
  </si>
  <si>
    <t>Shift 296</t>
  </si>
  <si>
    <t>Shift 297</t>
  </si>
  <si>
    <t>Shift 298</t>
  </si>
  <si>
    <t>Shift 299</t>
  </si>
  <si>
    <t>Shift 300</t>
  </si>
  <si>
    <t>Shift 301</t>
  </si>
  <si>
    <t>Shift 302</t>
  </si>
  <si>
    <t>Shift 303</t>
  </si>
  <si>
    <t>Shift 304</t>
  </si>
  <si>
    <t>Shift 305</t>
  </si>
  <si>
    <t>Shift 306</t>
  </si>
  <si>
    <t>Shift 307</t>
  </si>
  <si>
    <t>Shift 308</t>
  </si>
  <si>
    <t>Shift 309</t>
  </si>
  <si>
    <t>Shift 310</t>
  </si>
  <si>
    <t>Shift 311</t>
  </si>
  <si>
    <t>Shift 312</t>
  </si>
  <si>
    <t>Shift 313</t>
  </si>
  <si>
    <t>Shift 314</t>
  </si>
  <si>
    <t>Shift 315</t>
  </si>
  <si>
    <t>Shift 316</t>
  </si>
  <si>
    <t>Shift 317</t>
  </si>
  <si>
    <t>Shift 318</t>
  </si>
  <si>
    <t>Shift 319</t>
  </si>
  <si>
    <t>Shift 320</t>
  </si>
  <si>
    <t>Shift 321</t>
  </si>
  <si>
    <t>Shift 322</t>
  </si>
  <si>
    <t>Shift 323</t>
  </si>
  <si>
    <t>Shift 324</t>
  </si>
  <si>
    <t>Shift 325</t>
  </si>
  <si>
    <t>Shift 326</t>
  </si>
  <si>
    <t>Shift 327</t>
  </si>
  <si>
    <t>Shift 328</t>
  </si>
  <si>
    <t>Shift 329</t>
  </si>
  <si>
    <t>Shift 330</t>
  </si>
  <si>
    <t>Shift 331</t>
  </si>
  <si>
    <t>Shift 332</t>
  </si>
  <si>
    <t>Shift 333</t>
  </si>
  <si>
    <t>Shift 334</t>
  </si>
  <si>
    <t>Shift 335</t>
  </si>
  <si>
    <t>Shift 336</t>
  </si>
  <si>
    <t>Constraints</t>
  </si>
  <si>
    <t>Hour</t>
  </si>
  <si>
    <t>Weekday</t>
  </si>
  <si>
    <t>w</t>
  </si>
  <si>
    <t>j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</si>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</sst>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2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8"/>
      <color theme="1"/>
      <name val="Times New Roman"/>
      <family val="1"/>
    </font>
    <font>
      <i/>
      <sz val="8"/>
      <color theme="1"/>
      <name val="Times New Roman"/>
      <family val="1"/>
    </font>
    <font>
      <sz val="8"/>
      <color theme="1"/>
      <name val="Times New Roman"/>
      <family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9">
    <xf numFmtId="0" fontId="0" fillId="0" borderId="0" xfId="0"/>
    <xf numFmtId="2" fontId="0" fillId="0" borderId="0" xfId="0" applyNumberFormat="1"/>
    <xf numFmtId="0" fontId="0" fillId="0" borderId="0" xfId="0"/>
    <xf numFmtId="0" fontId="0" fillId="0" borderId="0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19" fillId="0" borderId="28" xfId="0" applyFont="1" applyBorder="1" applyAlignment="1">
      <alignment horizontal="center"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164" fontId="20" fillId="0" borderId="10" xfId="0" applyNumberFormat="1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164" fontId="20" fillId="0" borderId="17" xfId="0" applyNumberFormat="1" applyFont="1" applyBorder="1" applyAlignment="1">
      <alignment horizontal="center" vertical="center"/>
    </xf>
    <xf numFmtId="164" fontId="20" fillId="0" borderId="26" xfId="0" applyNumberFormat="1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27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2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Optimization!$LZ$1</c:f>
              <c:strCache>
                <c:ptCount val="1"/>
                <c:pt idx="0">
                  <c:v>Load</c:v>
                </c:pt>
              </c:strCache>
            </c:strRef>
          </c:tx>
          <c:invertIfNegative val="0"/>
          <c:val>
            <c:numRef>
              <c:f>Optimization!$LZ$2:$LZ$337</c:f>
              <c:numCache>
                <c:formatCode>General</c:formatCode>
                <c:ptCount val="336"/>
                <c:pt idx="0">
                  <c:v>0.37370014245014199</c:v>
                </c:pt>
                <c:pt idx="1">
                  <c:v>0.37370014245014199</c:v>
                </c:pt>
                <c:pt idx="2">
                  <c:v>0.24824136313897099</c:v>
                </c:pt>
                <c:pt idx="3">
                  <c:v>0.24824136313897099</c:v>
                </c:pt>
                <c:pt idx="4">
                  <c:v>0.166181229773463</c:v>
                </c:pt>
                <c:pt idx="5">
                  <c:v>0.166181229773463</c:v>
                </c:pt>
                <c:pt idx="6">
                  <c:v>0.125044091710758</c:v>
                </c:pt>
                <c:pt idx="7">
                  <c:v>0.125044091710758</c:v>
                </c:pt>
                <c:pt idx="8">
                  <c:v>0.109294532627866</c:v>
                </c:pt>
                <c:pt idx="9">
                  <c:v>0.109294532627866</c:v>
                </c:pt>
                <c:pt idx="10">
                  <c:v>0.105167548500882</c:v>
                </c:pt>
                <c:pt idx="11">
                  <c:v>0.105167548500882</c:v>
                </c:pt>
                <c:pt idx="12">
                  <c:v>0.10490299823633201</c:v>
                </c:pt>
                <c:pt idx="13">
                  <c:v>0.10490299823633201</c:v>
                </c:pt>
                <c:pt idx="14">
                  <c:v>0.101693121693122</c:v>
                </c:pt>
                <c:pt idx="15">
                  <c:v>0.101693121693122</c:v>
                </c:pt>
                <c:pt idx="16">
                  <c:v>0.13661375661375699</c:v>
                </c:pt>
                <c:pt idx="17">
                  <c:v>0.13661375661375699</c:v>
                </c:pt>
                <c:pt idx="18">
                  <c:v>0.20419753086419801</c:v>
                </c:pt>
                <c:pt idx="19">
                  <c:v>0.20419753086419801</c:v>
                </c:pt>
                <c:pt idx="20">
                  <c:v>0.29111111111111099</c:v>
                </c:pt>
                <c:pt idx="21">
                  <c:v>0.29111111111111099</c:v>
                </c:pt>
                <c:pt idx="22">
                  <c:v>0.39813051146384498</c:v>
                </c:pt>
                <c:pt idx="23">
                  <c:v>0.39813051146384498</c:v>
                </c:pt>
                <c:pt idx="24">
                  <c:v>0.46158730158730199</c:v>
                </c:pt>
                <c:pt idx="25">
                  <c:v>0.46158730158730199</c:v>
                </c:pt>
                <c:pt idx="26">
                  <c:v>0.51523809523809505</c:v>
                </c:pt>
                <c:pt idx="27">
                  <c:v>0.51523809523809505</c:v>
                </c:pt>
                <c:pt idx="28">
                  <c:v>0.571957671957672</c:v>
                </c:pt>
                <c:pt idx="29">
                  <c:v>0.571957671957672</c:v>
                </c:pt>
                <c:pt idx="30">
                  <c:v>0.59067019400352705</c:v>
                </c:pt>
                <c:pt idx="31">
                  <c:v>0.59067019400352705</c:v>
                </c:pt>
                <c:pt idx="32">
                  <c:v>0.61377425044091705</c:v>
                </c:pt>
                <c:pt idx="33">
                  <c:v>0.61377425044091705</c:v>
                </c:pt>
                <c:pt idx="34">
                  <c:v>0.64008818342151697</c:v>
                </c:pt>
                <c:pt idx="35">
                  <c:v>0.64008818342151697</c:v>
                </c:pt>
                <c:pt idx="36">
                  <c:v>0.69442680776014098</c:v>
                </c:pt>
                <c:pt idx="37">
                  <c:v>0.69442680776014098</c:v>
                </c:pt>
                <c:pt idx="38">
                  <c:v>0.77957671957672003</c:v>
                </c:pt>
                <c:pt idx="39">
                  <c:v>0.77957671957672003</c:v>
                </c:pt>
                <c:pt idx="40">
                  <c:v>0.788430335097002</c:v>
                </c:pt>
                <c:pt idx="41">
                  <c:v>0.788430335097002</c:v>
                </c:pt>
                <c:pt idx="42">
                  <c:v>0.77026455026454999</c:v>
                </c:pt>
                <c:pt idx="43">
                  <c:v>0.77026455026454999</c:v>
                </c:pt>
                <c:pt idx="44">
                  <c:v>0.66982363315696603</c:v>
                </c:pt>
                <c:pt idx="45">
                  <c:v>0.66982363315696603</c:v>
                </c:pt>
                <c:pt idx="46">
                  <c:v>0.53121693121693103</c:v>
                </c:pt>
                <c:pt idx="47">
                  <c:v>0.53121693121693103</c:v>
                </c:pt>
                <c:pt idx="48">
                  <c:v>0.37382716049382703</c:v>
                </c:pt>
                <c:pt idx="49">
                  <c:v>0.37382716049382703</c:v>
                </c:pt>
                <c:pt idx="50">
                  <c:v>0.25723104056437401</c:v>
                </c:pt>
                <c:pt idx="51">
                  <c:v>0.25723104056437401</c:v>
                </c:pt>
                <c:pt idx="52">
                  <c:v>0.15552028218694899</c:v>
                </c:pt>
                <c:pt idx="53">
                  <c:v>0.15552028218694899</c:v>
                </c:pt>
                <c:pt idx="54">
                  <c:v>0.108871252204586</c:v>
                </c:pt>
                <c:pt idx="55">
                  <c:v>0.108871252204586</c:v>
                </c:pt>
                <c:pt idx="56">
                  <c:v>9.7195767195767196E-2</c:v>
                </c:pt>
                <c:pt idx="57">
                  <c:v>9.7195767195767196E-2</c:v>
                </c:pt>
                <c:pt idx="58">
                  <c:v>0.08</c:v>
                </c:pt>
                <c:pt idx="59">
                  <c:v>0.08</c:v>
                </c:pt>
                <c:pt idx="60">
                  <c:v>7.7248677248677206E-2</c:v>
                </c:pt>
                <c:pt idx="61">
                  <c:v>7.7248677248677206E-2</c:v>
                </c:pt>
                <c:pt idx="62">
                  <c:v>9.1393298059964698E-2</c:v>
                </c:pt>
                <c:pt idx="63">
                  <c:v>9.1393298059964698E-2</c:v>
                </c:pt>
                <c:pt idx="64">
                  <c:v>0.12858906525573199</c:v>
                </c:pt>
                <c:pt idx="65">
                  <c:v>0.12858906525573199</c:v>
                </c:pt>
                <c:pt idx="66">
                  <c:v>0.17735449735449699</c:v>
                </c:pt>
                <c:pt idx="67">
                  <c:v>0.17735449735449699</c:v>
                </c:pt>
                <c:pt idx="68">
                  <c:v>0.24649029982363299</c:v>
                </c:pt>
                <c:pt idx="69">
                  <c:v>0.24649029982363299</c:v>
                </c:pt>
                <c:pt idx="70">
                  <c:v>0.32442680776014099</c:v>
                </c:pt>
                <c:pt idx="71">
                  <c:v>0.32442680776014099</c:v>
                </c:pt>
                <c:pt idx="72">
                  <c:v>0.38904761904761898</c:v>
                </c:pt>
                <c:pt idx="73">
                  <c:v>0.38904761904761898</c:v>
                </c:pt>
                <c:pt idx="74">
                  <c:v>0.41463844797178101</c:v>
                </c:pt>
                <c:pt idx="75">
                  <c:v>0.41463844797178101</c:v>
                </c:pt>
                <c:pt idx="76">
                  <c:v>0.406067019400353</c:v>
                </c:pt>
                <c:pt idx="77">
                  <c:v>0.406067019400353</c:v>
                </c:pt>
                <c:pt idx="78">
                  <c:v>0.38892416225749599</c:v>
                </c:pt>
                <c:pt idx="79">
                  <c:v>0.38892416225749599</c:v>
                </c:pt>
                <c:pt idx="80">
                  <c:v>0.41174603174603203</c:v>
                </c:pt>
                <c:pt idx="81">
                  <c:v>0.41174603174603203</c:v>
                </c:pt>
                <c:pt idx="82">
                  <c:v>0.49282186948853601</c:v>
                </c:pt>
                <c:pt idx="83">
                  <c:v>0.49282186948853601</c:v>
                </c:pt>
                <c:pt idx="84">
                  <c:v>0.61019400352733699</c:v>
                </c:pt>
                <c:pt idx="85">
                  <c:v>0.61019400352733699</c:v>
                </c:pt>
                <c:pt idx="86">
                  <c:v>0.724038800705467</c:v>
                </c:pt>
                <c:pt idx="87">
                  <c:v>0.724038800705467</c:v>
                </c:pt>
                <c:pt idx="88">
                  <c:v>0.783721340388007</c:v>
                </c:pt>
                <c:pt idx="89">
                  <c:v>0.783721340388007</c:v>
                </c:pt>
                <c:pt idx="90">
                  <c:v>0.78652557319224004</c:v>
                </c:pt>
                <c:pt idx="91">
                  <c:v>0.78652557319224004</c:v>
                </c:pt>
                <c:pt idx="92">
                  <c:v>0.71141093474426798</c:v>
                </c:pt>
                <c:pt idx="93">
                  <c:v>0.71141093474426798</c:v>
                </c:pt>
                <c:pt idx="94">
                  <c:v>0.54447268106734403</c:v>
                </c:pt>
                <c:pt idx="95">
                  <c:v>0.54447268106734403</c:v>
                </c:pt>
                <c:pt idx="96">
                  <c:v>0.39487179487179502</c:v>
                </c:pt>
                <c:pt idx="97">
                  <c:v>0.39487179487179502</c:v>
                </c:pt>
                <c:pt idx="98">
                  <c:v>0.28048433048433102</c:v>
                </c:pt>
                <c:pt idx="99">
                  <c:v>0.28048433048433102</c:v>
                </c:pt>
                <c:pt idx="100">
                  <c:v>0.18472222222222201</c:v>
                </c:pt>
                <c:pt idx="101">
                  <c:v>0.18472222222222201</c:v>
                </c:pt>
                <c:pt idx="102">
                  <c:v>0.14152421652421701</c:v>
                </c:pt>
                <c:pt idx="103">
                  <c:v>0.14152421652421701</c:v>
                </c:pt>
                <c:pt idx="104">
                  <c:v>0.10892094017094001</c:v>
                </c:pt>
                <c:pt idx="105">
                  <c:v>0.10892094017094001</c:v>
                </c:pt>
                <c:pt idx="106">
                  <c:v>9.6420940170940203E-2</c:v>
                </c:pt>
                <c:pt idx="107">
                  <c:v>9.6420940170940203E-2</c:v>
                </c:pt>
                <c:pt idx="108">
                  <c:v>7.7403846153846198E-2</c:v>
                </c:pt>
                <c:pt idx="109">
                  <c:v>7.7403846153846198E-2</c:v>
                </c:pt>
                <c:pt idx="110">
                  <c:v>8.2015669515669506E-2</c:v>
                </c:pt>
                <c:pt idx="111">
                  <c:v>8.2015669515669506E-2</c:v>
                </c:pt>
                <c:pt idx="112">
                  <c:v>0.110915242165242</c:v>
                </c:pt>
                <c:pt idx="113">
                  <c:v>0.110915242165242</c:v>
                </c:pt>
                <c:pt idx="114">
                  <c:v>0.181962250712251</c:v>
                </c:pt>
                <c:pt idx="115">
                  <c:v>0.181962250712251</c:v>
                </c:pt>
                <c:pt idx="116">
                  <c:v>0.24522792022792</c:v>
                </c:pt>
                <c:pt idx="117">
                  <c:v>0.24522792022792</c:v>
                </c:pt>
                <c:pt idx="118">
                  <c:v>0.29683048433048398</c:v>
                </c:pt>
                <c:pt idx="119">
                  <c:v>0.29683048433048398</c:v>
                </c:pt>
                <c:pt idx="120">
                  <c:v>0.344907407407407</c:v>
                </c:pt>
                <c:pt idx="121">
                  <c:v>0.344907407407407</c:v>
                </c:pt>
                <c:pt idx="122">
                  <c:v>0.36951566951567</c:v>
                </c:pt>
                <c:pt idx="123">
                  <c:v>0.36951566951567</c:v>
                </c:pt>
                <c:pt idx="124">
                  <c:v>0.38294159544159501</c:v>
                </c:pt>
                <c:pt idx="125">
                  <c:v>0.38294159544159501</c:v>
                </c:pt>
                <c:pt idx="126">
                  <c:v>0.37681623931623898</c:v>
                </c:pt>
                <c:pt idx="127">
                  <c:v>0.37681623931623898</c:v>
                </c:pt>
                <c:pt idx="128">
                  <c:v>0.35908119658119703</c:v>
                </c:pt>
                <c:pt idx="129">
                  <c:v>0.35908119658119703</c:v>
                </c:pt>
                <c:pt idx="130">
                  <c:v>0.41155626780626797</c:v>
                </c:pt>
                <c:pt idx="131">
                  <c:v>0.41155626780626797</c:v>
                </c:pt>
                <c:pt idx="132">
                  <c:v>0.54957264957264995</c:v>
                </c:pt>
                <c:pt idx="133">
                  <c:v>0.54957264957264995</c:v>
                </c:pt>
                <c:pt idx="134">
                  <c:v>0.69362535612535603</c:v>
                </c:pt>
                <c:pt idx="135">
                  <c:v>0.69362535612535603</c:v>
                </c:pt>
                <c:pt idx="136">
                  <c:v>0.767254273504273</c:v>
                </c:pt>
                <c:pt idx="137">
                  <c:v>0.767254273504273</c:v>
                </c:pt>
                <c:pt idx="138">
                  <c:v>0.77594373219373203</c:v>
                </c:pt>
                <c:pt idx="139">
                  <c:v>0.77594373219373203</c:v>
                </c:pt>
                <c:pt idx="140">
                  <c:v>0.68452635327635303</c:v>
                </c:pt>
                <c:pt idx="141">
                  <c:v>0.68452635327635303</c:v>
                </c:pt>
                <c:pt idx="142">
                  <c:v>0.54398148148148195</c:v>
                </c:pt>
                <c:pt idx="143">
                  <c:v>0.54398148148148195</c:v>
                </c:pt>
                <c:pt idx="144">
                  <c:v>0.390633903133903</c:v>
                </c:pt>
                <c:pt idx="145">
                  <c:v>0.390633903133903</c:v>
                </c:pt>
                <c:pt idx="146">
                  <c:v>0.26025641025641</c:v>
                </c:pt>
                <c:pt idx="147">
                  <c:v>0.26025641025641</c:v>
                </c:pt>
                <c:pt idx="148">
                  <c:v>0.17831196581196601</c:v>
                </c:pt>
                <c:pt idx="149">
                  <c:v>0.17831196581196601</c:v>
                </c:pt>
                <c:pt idx="150">
                  <c:v>0.14426638176638201</c:v>
                </c:pt>
                <c:pt idx="151">
                  <c:v>0.14426638176638201</c:v>
                </c:pt>
                <c:pt idx="152">
                  <c:v>0.117877492877493</c:v>
                </c:pt>
                <c:pt idx="153">
                  <c:v>0.117877492877493</c:v>
                </c:pt>
                <c:pt idx="154">
                  <c:v>9.54059829059829E-2</c:v>
                </c:pt>
                <c:pt idx="155">
                  <c:v>9.54059829059829E-2</c:v>
                </c:pt>
                <c:pt idx="156">
                  <c:v>9.6296296296296297E-2</c:v>
                </c:pt>
                <c:pt idx="157">
                  <c:v>9.6296296296296297E-2</c:v>
                </c:pt>
                <c:pt idx="158">
                  <c:v>0.107104700854701</c:v>
                </c:pt>
                <c:pt idx="159">
                  <c:v>0.107104700854701</c:v>
                </c:pt>
                <c:pt idx="160">
                  <c:v>0.14036680911680899</c:v>
                </c:pt>
                <c:pt idx="161">
                  <c:v>0.14036680911680899</c:v>
                </c:pt>
                <c:pt idx="162">
                  <c:v>0.19182692307692301</c:v>
                </c:pt>
                <c:pt idx="163">
                  <c:v>0.19182692307692301</c:v>
                </c:pt>
                <c:pt idx="164">
                  <c:v>0.24366096866096901</c:v>
                </c:pt>
                <c:pt idx="165">
                  <c:v>0.24366096866096901</c:v>
                </c:pt>
                <c:pt idx="166">
                  <c:v>0.30067663817663798</c:v>
                </c:pt>
                <c:pt idx="167">
                  <c:v>0.30067663817663798</c:v>
                </c:pt>
                <c:pt idx="168">
                  <c:v>0.33926282051282097</c:v>
                </c:pt>
                <c:pt idx="169">
                  <c:v>0.33926282051282097</c:v>
                </c:pt>
                <c:pt idx="170">
                  <c:v>0.38520299145299097</c:v>
                </c:pt>
                <c:pt idx="171">
                  <c:v>0.38520299145299097</c:v>
                </c:pt>
                <c:pt idx="172">
                  <c:v>0.40991809116809103</c:v>
                </c:pt>
                <c:pt idx="173">
                  <c:v>0.40991809116809103</c:v>
                </c:pt>
                <c:pt idx="174">
                  <c:v>0.42849002849002799</c:v>
                </c:pt>
                <c:pt idx="175">
                  <c:v>0.42849002849002799</c:v>
                </c:pt>
                <c:pt idx="176">
                  <c:v>0.45906339031339</c:v>
                </c:pt>
                <c:pt idx="177">
                  <c:v>0.45906339031339</c:v>
                </c:pt>
                <c:pt idx="178">
                  <c:v>0.51517094017094001</c:v>
                </c:pt>
                <c:pt idx="179">
                  <c:v>0.51517094017094001</c:v>
                </c:pt>
                <c:pt idx="180">
                  <c:v>0.60568019943019902</c:v>
                </c:pt>
                <c:pt idx="181">
                  <c:v>0.60568019943019902</c:v>
                </c:pt>
                <c:pt idx="182">
                  <c:v>0.70619658119658102</c:v>
                </c:pt>
                <c:pt idx="183">
                  <c:v>0.70619658119658102</c:v>
                </c:pt>
                <c:pt idx="184">
                  <c:v>0.73173076923076896</c:v>
                </c:pt>
                <c:pt idx="185">
                  <c:v>0.73173076923076896</c:v>
                </c:pt>
                <c:pt idx="186">
                  <c:v>0.70541310541310498</c:v>
                </c:pt>
                <c:pt idx="187">
                  <c:v>0.70541310541310498</c:v>
                </c:pt>
                <c:pt idx="188">
                  <c:v>0.64376780626780605</c:v>
                </c:pt>
                <c:pt idx="189">
                  <c:v>0.64376780626780605</c:v>
                </c:pt>
                <c:pt idx="190">
                  <c:v>0.51223290598290605</c:v>
                </c:pt>
                <c:pt idx="191">
                  <c:v>0.51223290598290605</c:v>
                </c:pt>
                <c:pt idx="192">
                  <c:v>0.39643874643874599</c:v>
                </c:pt>
                <c:pt idx="193">
                  <c:v>0.39643874643874599</c:v>
                </c:pt>
                <c:pt idx="194">
                  <c:v>0.29239672364672398</c:v>
                </c:pt>
                <c:pt idx="195">
                  <c:v>0.29239672364672398</c:v>
                </c:pt>
                <c:pt idx="196">
                  <c:v>0.19925213675213699</c:v>
                </c:pt>
                <c:pt idx="197">
                  <c:v>0.19925213675213699</c:v>
                </c:pt>
                <c:pt idx="198">
                  <c:v>0.14932336182336201</c:v>
                </c:pt>
                <c:pt idx="199">
                  <c:v>0.14932336182336201</c:v>
                </c:pt>
                <c:pt idx="200">
                  <c:v>0.13680555555555601</c:v>
                </c:pt>
                <c:pt idx="201">
                  <c:v>0.13680555555555601</c:v>
                </c:pt>
                <c:pt idx="202">
                  <c:v>0.109312678062678</c:v>
                </c:pt>
                <c:pt idx="203">
                  <c:v>0.109312678062678</c:v>
                </c:pt>
                <c:pt idx="204">
                  <c:v>9.5957977207977205E-2</c:v>
                </c:pt>
                <c:pt idx="205">
                  <c:v>9.5957977207977205E-2</c:v>
                </c:pt>
                <c:pt idx="206">
                  <c:v>0.110665954415954</c:v>
                </c:pt>
                <c:pt idx="207">
                  <c:v>0.110665954415954</c:v>
                </c:pt>
                <c:pt idx="208">
                  <c:v>0.14916310541310501</c:v>
                </c:pt>
                <c:pt idx="209">
                  <c:v>0.14916310541310501</c:v>
                </c:pt>
                <c:pt idx="210">
                  <c:v>0.19191595441595399</c:v>
                </c:pt>
                <c:pt idx="211">
                  <c:v>0.19191595441595399</c:v>
                </c:pt>
                <c:pt idx="212">
                  <c:v>0.24332264957265001</c:v>
                </c:pt>
                <c:pt idx="213">
                  <c:v>0.24332264957265001</c:v>
                </c:pt>
                <c:pt idx="214">
                  <c:v>0.323112535612536</c:v>
                </c:pt>
                <c:pt idx="215">
                  <c:v>0.323112535612536</c:v>
                </c:pt>
                <c:pt idx="216">
                  <c:v>0.35334757834757802</c:v>
                </c:pt>
                <c:pt idx="217">
                  <c:v>0.35334757834757802</c:v>
                </c:pt>
                <c:pt idx="218">
                  <c:v>0.34569088319088298</c:v>
                </c:pt>
                <c:pt idx="219">
                  <c:v>0.34569088319088298</c:v>
                </c:pt>
                <c:pt idx="220">
                  <c:v>0.346207264957265</c:v>
                </c:pt>
                <c:pt idx="221">
                  <c:v>0.346207264957265</c:v>
                </c:pt>
                <c:pt idx="222">
                  <c:v>0.35010683760683797</c:v>
                </c:pt>
                <c:pt idx="223">
                  <c:v>0.35010683760683797</c:v>
                </c:pt>
                <c:pt idx="224">
                  <c:v>0.38180199430199402</c:v>
                </c:pt>
                <c:pt idx="225">
                  <c:v>0.38180199430199402</c:v>
                </c:pt>
                <c:pt idx="226">
                  <c:v>0.44294871794871798</c:v>
                </c:pt>
                <c:pt idx="227">
                  <c:v>0.44294871794871798</c:v>
                </c:pt>
                <c:pt idx="228">
                  <c:v>0.53037749287749303</c:v>
                </c:pt>
                <c:pt idx="229">
                  <c:v>0.53037749287749303</c:v>
                </c:pt>
                <c:pt idx="230">
                  <c:v>0.64059829059829099</c:v>
                </c:pt>
                <c:pt idx="231">
                  <c:v>0.64059829059829099</c:v>
                </c:pt>
                <c:pt idx="232">
                  <c:v>0.73128561253561297</c:v>
                </c:pt>
                <c:pt idx="233">
                  <c:v>0.73128561253561297</c:v>
                </c:pt>
                <c:pt idx="234">
                  <c:v>0.74804131054131096</c:v>
                </c:pt>
                <c:pt idx="235">
                  <c:v>0.74804131054131096</c:v>
                </c:pt>
                <c:pt idx="236">
                  <c:v>0.66912393162393202</c:v>
                </c:pt>
                <c:pt idx="237">
                  <c:v>0.66912393162393202</c:v>
                </c:pt>
                <c:pt idx="238">
                  <c:v>0.538016381766382</c:v>
                </c:pt>
                <c:pt idx="239">
                  <c:v>0.538016381766382</c:v>
                </c:pt>
                <c:pt idx="240">
                  <c:v>0.39629629629629598</c:v>
                </c:pt>
                <c:pt idx="241">
                  <c:v>0.39629629629629598</c:v>
                </c:pt>
                <c:pt idx="242">
                  <c:v>0.27150997150997103</c:v>
                </c:pt>
                <c:pt idx="243">
                  <c:v>0.27150997150997103</c:v>
                </c:pt>
                <c:pt idx="244">
                  <c:v>0.203240740740741</c:v>
                </c:pt>
                <c:pt idx="245">
                  <c:v>0.203240740740741</c:v>
                </c:pt>
                <c:pt idx="246">
                  <c:v>0.140562678062678</c:v>
                </c:pt>
                <c:pt idx="247">
                  <c:v>0.140562678062678</c:v>
                </c:pt>
                <c:pt idx="248">
                  <c:v>0.110950854700855</c:v>
                </c:pt>
                <c:pt idx="249">
                  <c:v>0.110950854700855</c:v>
                </c:pt>
                <c:pt idx="250">
                  <c:v>9.9448005698005701E-2</c:v>
                </c:pt>
                <c:pt idx="251">
                  <c:v>9.9448005698005701E-2</c:v>
                </c:pt>
                <c:pt idx="252">
                  <c:v>9.0081908831908794E-2</c:v>
                </c:pt>
                <c:pt idx="253">
                  <c:v>9.0081908831908794E-2</c:v>
                </c:pt>
                <c:pt idx="254">
                  <c:v>8.9743589743589702E-2</c:v>
                </c:pt>
                <c:pt idx="255">
                  <c:v>8.9743589743589702E-2</c:v>
                </c:pt>
                <c:pt idx="256">
                  <c:v>0.118500712250712</c:v>
                </c:pt>
                <c:pt idx="257">
                  <c:v>0.118500712250712</c:v>
                </c:pt>
                <c:pt idx="258">
                  <c:v>0.15386396011396</c:v>
                </c:pt>
                <c:pt idx="259">
                  <c:v>0.15386396011396</c:v>
                </c:pt>
                <c:pt idx="260">
                  <c:v>0.19978632478632499</c:v>
                </c:pt>
                <c:pt idx="261">
                  <c:v>0.19978632478632499</c:v>
                </c:pt>
                <c:pt idx="262">
                  <c:v>0.25947293447293501</c:v>
                </c:pt>
                <c:pt idx="263">
                  <c:v>0.25947293447293501</c:v>
                </c:pt>
                <c:pt idx="264">
                  <c:v>0.27936253561253599</c:v>
                </c:pt>
                <c:pt idx="265">
                  <c:v>0.27936253561253599</c:v>
                </c:pt>
                <c:pt idx="266">
                  <c:v>0.293963675213675</c:v>
                </c:pt>
                <c:pt idx="267">
                  <c:v>0.293963675213675</c:v>
                </c:pt>
                <c:pt idx="268">
                  <c:v>0.31303418803418798</c:v>
                </c:pt>
                <c:pt idx="269">
                  <c:v>0.31303418803418798</c:v>
                </c:pt>
                <c:pt idx="270">
                  <c:v>0.325569800569801</c:v>
                </c:pt>
                <c:pt idx="271">
                  <c:v>0.325569800569801</c:v>
                </c:pt>
                <c:pt idx="272">
                  <c:v>0.39107905982905999</c:v>
                </c:pt>
                <c:pt idx="273">
                  <c:v>0.39107905982905999</c:v>
                </c:pt>
                <c:pt idx="274">
                  <c:v>0.48847934472934501</c:v>
                </c:pt>
                <c:pt idx="275">
                  <c:v>0.48847934472934501</c:v>
                </c:pt>
                <c:pt idx="276">
                  <c:v>0.55398860398860394</c:v>
                </c:pt>
                <c:pt idx="277">
                  <c:v>0.55398860398860394</c:v>
                </c:pt>
                <c:pt idx="278">
                  <c:v>0.62154558404558402</c:v>
                </c:pt>
                <c:pt idx="279">
                  <c:v>0.62154558404558402</c:v>
                </c:pt>
                <c:pt idx="280">
                  <c:v>0.65982905982906004</c:v>
                </c:pt>
                <c:pt idx="281">
                  <c:v>0.65982905982906004</c:v>
                </c:pt>
                <c:pt idx="282">
                  <c:v>0.64782763532763499</c:v>
                </c:pt>
                <c:pt idx="283">
                  <c:v>0.64782763532763499</c:v>
                </c:pt>
                <c:pt idx="284">
                  <c:v>0.57802706552706595</c:v>
                </c:pt>
                <c:pt idx="285">
                  <c:v>0.57802706552706595</c:v>
                </c:pt>
                <c:pt idx="286">
                  <c:v>0.44626068376068401</c:v>
                </c:pt>
                <c:pt idx="287">
                  <c:v>0.44626068376068401</c:v>
                </c:pt>
                <c:pt idx="288">
                  <c:v>0.31080840455840503</c:v>
                </c:pt>
                <c:pt idx="289">
                  <c:v>0.31080840455840503</c:v>
                </c:pt>
                <c:pt idx="290">
                  <c:v>0.21392450142450101</c:v>
                </c:pt>
                <c:pt idx="291">
                  <c:v>0.21392450142450101</c:v>
                </c:pt>
                <c:pt idx="292">
                  <c:v>0.15352564102564101</c:v>
                </c:pt>
                <c:pt idx="293">
                  <c:v>0.15352564102564101</c:v>
                </c:pt>
                <c:pt idx="294">
                  <c:v>0.108974358974359</c:v>
                </c:pt>
                <c:pt idx="295">
                  <c:v>0.108974358974359</c:v>
                </c:pt>
                <c:pt idx="296">
                  <c:v>0.10498575498575501</c:v>
                </c:pt>
                <c:pt idx="297">
                  <c:v>0.10498575498575501</c:v>
                </c:pt>
                <c:pt idx="298">
                  <c:v>8.2300569800569795E-2</c:v>
                </c:pt>
                <c:pt idx="299">
                  <c:v>8.2300569800569795E-2</c:v>
                </c:pt>
                <c:pt idx="300">
                  <c:v>5.6944444444444402E-2</c:v>
                </c:pt>
                <c:pt idx="301">
                  <c:v>5.6944444444444402E-2</c:v>
                </c:pt>
                <c:pt idx="302">
                  <c:v>5.1691595441595399E-2</c:v>
                </c:pt>
                <c:pt idx="303">
                  <c:v>5.1691595441595399E-2</c:v>
                </c:pt>
                <c:pt idx="304">
                  <c:v>8.4312678062678101E-2</c:v>
                </c:pt>
                <c:pt idx="305">
                  <c:v>8.4312678062678101E-2</c:v>
                </c:pt>
                <c:pt idx="306">
                  <c:v>0.13237179487179501</c:v>
                </c:pt>
                <c:pt idx="307">
                  <c:v>0.13237179487179501</c:v>
                </c:pt>
                <c:pt idx="308">
                  <c:v>0.19480056980057001</c:v>
                </c:pt>
                <c:pt idx="309">
                  <c:v>0.19480056980057001</c:v>
                </c:pt>
                <c:pt idx="310">
                  <c:v>0.30272435897435901</c:v>
                </c:pt>
                <c:pt idx="311">
                  <c:v>0.30272435897435901</c:v>
                </c:pt>
                <c:pt idx="312">
                  <c:v>0.41148504273504299</c:v>
                </c:pt>
                <c:pt idx="313">
                  <c:v>0.41148504273504299</c:v>
                </c:pt>
                <c:pt idx="314">
                  <c:v>0.46842948717948701</c:v>
                </c:pt>
                <c:pt idx="315">
                  <c:v>0.46842948717948701</c:v>
                </c:pt>
                <c:pt idx="316">
                  <c:v>0.51661324786324803</c:v>
                </c:pt>
                <c:pt idx="317">
                  <c:v>0.51661324786324803</c:v>
                </c:pt>
                <c:pt idx="318">
                  <c:v>0.59663461538461504</c:v>
                </c:pt>
                <c:pt idx="319">
                  <c:v>0.59663461538461504</c:v>
                </c:pt>
                <c:pt idx="320">
                  <c:v>0.62263176638176598</c:v>
                </c:pt>
                <c:pt idx="321">
                  <c:v>0.62263176638176598</c:v>
                </c:pt>
                <c:pt idx="322">
                  <c:v>0.637126068376068</c:v>
                </c:pt>
                <c:pt idx="323">
                  <c:v>0.637126068376068</c:v>
                </c:pt>
                <c:pt idx="324">
                  <c:v>0.65105056980056997</c:v>
                </c:pt>
                <c:pt idx="325">
                  <c:v>0.65105056980056997</c:v>
                </c:pt>
                <c:pt idx="326">
                  <c:v>0.65587606837606804</c:v>
                </c:pt>
                <c:pt idx="327">
                  <c:v>0.65587606837606804</c:v>
                </c:pt>
                <c:pt idx="328">
                  <c:v>0.65680199430199404</c:v>
                </c:pt>
                <c:pt idx="329">
                  <c:v>0.65680199430199404</c:v>
                </c:pt>
                <c:pt idx="330">
                  <c:v>0.67207977207977199</c:v>
                </c:pt>
                <c:pt idx="331">
                  <c:v>0.67207977207977199</c:v>
                </c:pt>
                <c:pt idx="332">
                  <c:v>0.62099358974358998</c:v>
                </c:pt>
                <c:pt idx="333">
                  <c:v>0.62099358974358998</c:v>
                </c:pt>
                <c:pt idx="334">
                  <c:v>0.52608618233618198</c:v>
                </c:pt>
                <c:pt idx="335">
                  <c:v>0.52608618233618198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0429440"/>
        <c:axId val="80431360"/>
      </c:barChart>
      <c:lineChart>
        <c:grouping val="standard"/>
        <c:varyColors val="0"/>
        <c:ser>
          <c:idx val="2"/>
          <c:order val="1"/>
          <c:tx>
            <c:strRef>
              <c:f>Optimization!$MA$1</c:f>
              <c:strCache>
                <c:ptCount val="1"/>
                <c:pt idx="0">
                  <c:v>Capacity</c:v>
                </c:pt>
              </c:strCache>
            </c:strRef>
          </c:tx>
          <c:marker>
            <c:symbol val="none"/>
          </c:marker>
          <c:val>
            <c:numRef>
              <c:f>Optimization!$MA$2:$MA$337</c:f>
              <c:numCache>
                <c:formatCode>0.00</c:formatCode>
                <c:ptCount val="3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0</c:v>
                </c:pt>
                <c:pt idx="3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429440"/>
        <c:axId val="80431360"/>
      </c:lineChart>
      <c:catAx>
        <c:axId val="80429440"/>
        <c:scaling>
          <c:orientation val="minMax"/>
        </c:scaling>
        <c:delete val="0"/>
        <c:axPos val="b"/>
        <c:majorTickMark val="out"/>
        <c:minorTickMark val="none"/>
        <c:tickLblPos val="nextTo"/>
        <c:crossAx val="80431360"/>
        <c:crosses val="autoZero"/>
        <c:auto val="1"/>
        <c:lblAlgn val="ctr"/>
        <c:lblOffset val="100"/>
        <c:tickLblSkip val="4"/>
        <c:tickMarkSkip val="1"/>
        <c:noMultiLvlLbl val="0"/>
      </c:catAx>
      <c:valAx>
        <c:axId val="80431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4294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344</xdr:col>
      <xdr:colOff>80492</xdr:colOff>
      <xdr:row>17</xdr:row>
      <xdr:rowOff>107323</xdr:rowOff>
    </xdr:from>
    <xdr:to>
      <xdr:col>375</xdr:col>
      <xdr:colOff>61576</xdr:colOff>
      <xdr:row>41</xdr:row>
      <xdr:rowOff>93244</xdr:rowOff>
    </xdr:to>
    <xdr:graphicFrame macro="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D377"/>
  <sheetViews>
    <sheetView tabSelected="1" zoomScaleNormal="100" workbookViewId="0">
      <pane ySplit="1" topLeftCell="A332" activePane="bottomLeft" state="frozen"/>
      <selection activeCell="CI1" sqref="CI1"/>
      <selection pane="bottomLeft" activeCell="A339" sqref="A339:LY339"/>
    </sheetView>
  </sheetViews>
  <sheetFormatPr defaultRowHeight="12.75" x14ac:dyDescent="0.2"/>
  <cols>
    <col min="346" max="346" width="17.85546875" bestFit="1" customWidth="1"/>
    <col min="347" max="347" width="7.7109375" bestFit="1" customWidth="1"/>
  </cols>
  <sheetData>
    <row r="1" spans="1:347" x14ac:dyDescent="0.2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2" t="s">
        <v>39</v>
      </c>
      <c r="AP1" s="2" t="s">
        <v>40</v>
      </c>
      <c r="AQ1" s="2" t="s">
        <v>41</v>
      </c>
      <c r="AR1" s="2" t="s">
        <v>42</v>
      </c>
      <c r="AS1" s="2" t="s">
        <v>43</v>
      </c>
      <c r="AT1" s="2" t="s">
        <v>44</v>
      </c>
      <c r="AU1" s="2" t="s">
        <v>45</v>
      </c>
      <c r="AV1" s="2" t="s">
        <v>46</v>
      </c>
      <c r="AW1" s="2" t="s">
        <v>47</v>
      </c>
      <c r="AX1" s="2" t="s">
        <v>48</v>
      </c>
      <c r="AY1" s="2" t="s">
        <v>49</v>
      </c>
      <c r="AZ1" s="2" t="s">
        <v>50</v>
      </c>
      <c r="BA1" s="2" t="s">
        <v>51</v>
      </c>
      <c r="BB1" s="2" t="s">
        <v>52</v>
      </c>
      <c r="BC1" s="2" t="s">
        <v>53</v>
      </c>
      <c r="BD1" s="2" t="s">
        <v>54</v>
      </c>
      <c r="BE1" s="2" t="s">
        <v>55</v>
      </c>
      <c r="BF1" s="2" t="s">
        <v>56</v>
      </c>
      <c r="BG1" s="2" t="s">
        <v>57</v>
      </c>
      <c r="BH1" s="2" t="s">
        <v>58</v>
      </c>
      <c r="BI1" s="2" t="s">
        <v>59</v>
      </c>
      <c r="BJ1" s="2" t="s">
        <v>60</v>
      </c>
      <c r="BK1" s="2" t="s">
        <v>61</v>
      </c>
      <c r="BL1" s="2" t="s">
        <v>62</v>
      </c>
      <c r="BM1" s="2" t="s">
        <v>63</v>
      </c>
      <c r="BN1" s="2" t="s">
        <v>64</v>
      </c>
      <c r="BO1" s="2" t="s">
        <v>65</v>
      </c>
      <c r="BP1" s="2" t="s">
        <v>66</v>
      </c>
      <c r="BQ1" s="2" t="s">
        <v>67</v>
      </c>
      <c r="BR1" s="2" t="s">
        <v>68</v>
      </c>
      <c r="BS1" s="2" t="s">
        <v>69</v>
      </c>
      <c r="BT1" s="2" t="s">
        <v>70</v>
      </c>
      <c r="BU1" s="2" t="s">
        <v>71</v>
      </c>
      <c r="BV1" s="2" t="s">
        <v>72</v>
      </c>
      <c r="BW1" s="2" t="s">
        <v>73</v>
      </c>
      <c r="BX1" s="2" t="s">
        <v>74</v>
      </c>
      <c r="BY1" s="2" t="s">
        <v>75</v>
      </c>
      <c r="BZ1" s="2" t="s">
        <v>76</v>
      </c>
      <c r="CA1" s="2" t="s">
        <v>77</v>
      </c>
      <c r="CB1" s="2" t="s">
        <v>78</v>
      </c>
      <c r="CC1" s="2" t="s">
        <v>79</v>
      </c>
      <c r="CD1" s="2" t="s">
        <v>80</v>
      </c>
      <c r="CE1" s="2" t="s">
        <v>81</v>
      </c>
      <c r="CF1" s="2" t="s">
        <v>82</v>
      </c>
      <c r="CG1" s="2" t="s">
        <v>83</v>
      </c>
      <c r="CH1" s="2" t="s">
        <v>84</v>
      </c>
      <c r="CI1" s="2" t="s">
        <v>85</v>
      </c>
      <c r="CJ1" s="2" t="s">
        <v>86</v>
      </c>
      <c r="CK1" s="2" t="s">
        <v>87</v>
      </c>
      <c r="CL1" s="2" t="s">
        <v>88</v>
      </c>
      <c r="CM1" s="2" t="s">
        <v>89</v>
      </c>
      <c r="CN1" s="2" t="s">
        <v>90</v>
      </c>
      <c r="CO1" s="2" t="s">
        <v>91</v>
      </c>
      <c r="CP1" s="2" t="s">
        <v>92</v>
      </c>
      <c r="CQ1" s="2" t="s">
        <v>93</v>
      </c>
      <c r="CR1" s="2" t="s">
        <v>94</v>
      </c>
      <c r="CS1" s="2" t="s">
        <v>95</v>
      </c>
      <c r="CT1" s="2" t="s">
        <v>96</v>
      </c>
      <c r="CU1" s="2" t="s">
        <v>97</v>
      </c>
      <c r="CV1" s="2" t="s">
        <v>98</v>
      </c>
      <c r="CW1" s="2" t="s">
        <v>99</v>
      </c>
      <c r="CX1" s="2" t="s">
        <v>100</v>
      </c>
      <c r="CY1" s="2" t="s">
        <v>101</v>
      </c>
      <c r="CZ1" s="2" t="s">
        <v>102</v>
      </c>
      <c r="DA1" s="2" t="s">
        <v>103</v>
      </c>
      <c r="DB1" s="2" t="s">
        <v>104</v>
      </c>
      <c r="DC1" s="2" t="s">
        <v>105</v>
      </c>
      <c r="DD1" s="2" t="s">
        <v>106</v>
      </c>
      <c r="DE1" s="2" t="s">
        <v>107</v>
      </c>
      <c r="DF1" s="2" t="s">
        <v>108</v>
      </c>
      <c r="DG1" s="2" t="s">
        <v>109</v>
      </c>
      <c r="DH1" s="2" t="s">
        <v>110</v>
      </c>
      <c r="DI1" s="2" t="s">
        <v>111</v>
      </c>
      <c r="DJ1" s="2" t="s">
        <v>112</v>
      </c>
      <c r="DK1" s="2" t="s">
        <v>113</v>
      </c>
      <c r="DL1" s="2" t="s">
        <v>114</v>
      </c>
      <c r="DM1" s="2" t="s">
        <v>115</v>
      </c>
      <c r="DN1" s="2" t="s">
        <v>116</v>
      </c>
      <c r="DO1" s="2" t="s">
        <v>117</v>
      </c>
      <c r="DP1" s="2" t="s">
        <v>118</v>
      </c>
      <c r="DQ1" s="2" t="s">
        <v>119</v>
      </c>
      <c r="DR1" s="2" t="s">
        <v>120</v>
      </c>
      <c r="DS1" s="2" t="s">
        <v>121</v>
      </c>
      <c r="DT1" s="2" t="s">
        <v>122</v>
      </c>
      <c r="DU1" s="2" t="s">
        <v>123</v>
      </c>
      <c r="DV1" s="2" t="s">
        <v>124</v>
      </c>
      <c r="DW1" s="2" t="s">
        <v>125</v>
      </c>
      <c r="DX1" s="2" t="s">
        <v>126</v>
      </c>
      <c r="DY1" s="2" t="s">
        <v>127</v>
      </c>
      <c r="DZ1" s="2" t="s">
        <v>128</v>
      </c>
      <c r="EA1" s="2" t="s">
        <v>129</v>
      </c>
      <c r="EB1" s="2" t="s">
        <v>130</v>
      </c>
      <c r="EC1" s="2" t="s">
        <v>131</v>
      </c>
      <c r="ED1" s="2" t="s">
        <v>132</v>
      </c>
      <c r="EE1" s="2" t="s">
        <v>133</v>
      </c>
      <c r="EF1" s="2" t="s">
        <v>134</v>
      </c>
      <c r="EG1" s="2" t="s">
        <v>135</v>
      </c>
      <c r="EH1" s="2" t="s">
        <v>136</v>
      </c>
      <c r="EI1" s="2" t="s">
        <v>137</v>
      </c>
      <c r="EJ1" s="2" t="s">
        <v>138</v>
      </c>
      <c r="EK1" s="2" t="s">
        <v>139</v>
      </c>
      <c r="EL1" s="2" t="s">
        <v>140</v>
      </c>
      <c r="EM1" s="2" t="s">
        <v>141</v>
      </c>
      <c r="EN1" s="2" t="s">
        <v>142</v>
      </c>
      <c r="EO1" s="2" t="s">
        <v>143</v>
      </c>
      <c r="EP1" s="2" t="s">
        <v>144</v>
      </c>
      <c r="EQ1" s="2" t="s">
        <v>145</v>
      </c>
      <c r="ER1" s="2" t="s">
        <v>146</v>
      </c>
      <c r="ES1" s="2" t="s">
        <v>147</v>
      </c>
      <c r="ET1" s="2" t="s">
        <v>148</v>
      </c>
      <c r="EU1" s="2" t="s">
        <v>149</v>
      </c>
      <c r="EV1" s="2" t="s">
        <v>150</v>
      </c>
      <c r="EW1" s="2" t="s">
        <v>151</v>
      </c>
      <c r="EX1" s="2" t="s">
        <v>152</v>
      </c>
      <c r="EY1" s="2" t="s">
        <v>153</v>
      </c>
      <c r="EZ1" s="2" t="s">
        <v>154</v>
      </c>
      <c r="FA1" s="2" t="s">
        <v>155</v>
      </c>
      <c r="FB1" s="2" t="s">
        <v>156</v>
      </c>
      <c r="FC1" s="2" t="s">
        <v>157</v>
      </c>
      <c r="FD1" s="2" t="s">
        <v>158</v>
      </c>
      <c r="FE1" s="2" t="s">
        <v>159</v>
      </c>
      <c r="FF1" s="2" t="s">
        <v>160</v>
      </c>
      <c r="FG1" s="2" t="s">
        <v>161</v>
      </c>
      <c r="FH1" s="2" t="s">
        <v>162</v>
      </c>
      <c r="FI1" s="2" t="s">
        <v>163</v>
      </c>
      <c r="FJ1" s="2" t="s">
        <v>164</v>
      </c>
      <c r="FK1" s="2" t="s">
        <v>165</v>
      </c>
      <c r="FL1" s="2" t="s">
        <v>166</v>
      </c>
      <c r="FM1" s="2" t="s">
        <v>167</v>
      </c>
      <c r="FN1" s="2" t="s">
        <v>187</v>
      </c>
      <c r="FO1" s="2" t="s">
        <v>188</v>
      </c>
      <c r="FP1" s="2" t="s">
        <v>189</v>
      </c>
      <c r="FQ1" s="2" t="s">
        <v>190</v>
      </c>
      <c r="FR1" s="2" t="s">
        <v>191</v>
      </c>
      <c r="FS1" s="2" t="s">
        <v>192</v>
      </c>
      <c r="FT1" s="2" t="s">
        <v>193</v>
      </c>
      <c r="FU1" s="2" t="s">
        <v>194</v>
      </c>
      <c r="FV1" s="2" t="s">
        <v>195</v>
      </c>
      <c r="FW1" s="2" t="s">
        <v>196</v>
      </c>
      <c r="FX1" s="2" t="s">
        <v>197</v>
      </c>
      <c r="FY1" s="2" t="s">
        <v>198</v>
      </c>
      <c r="FZ1" s="2" t="s">
        <v>199</v>
      </c>
      <c r="GA1" s="2" t="s">
        <v>200</v>
      </c>
      <c r="GB1" s="2" t="s">
        <v>201</v>
      </c>
      <c r="GC1" s="2" t="s">
        <v>202</v>
      </c>
      <c r="GD1" s="2" t="s">
        <v>203</v>
      </c>
      <c r="GE1" s="2" t="s">
        <v>204</v>
      </c>
      <c r="GF1" s="2" t="s">
        <v>205</v>
      </c>
      <c r="GG1" s="2" t="s">
        <v>206</v>
      </c>
      <c r="GH1" s="2" t="s">
        <v>207</v>
      </c>
      <c r="GI1" s="2" t="s">
        <v>208</v>
      </c>
      <c r="GJ1" s="2" t="s">
        <v>209</v>
      </c>
      <c r="GK1" s="2" t="s">
        <v>210</v>
      </c>
      <c r="GL1" s="2" t="s">
        <v>211</v>
      </c>
      <c r="GM1" s="2" t="s">
        <v>212</v>
      </c>
      <c r="GN1" s="2" t="s">
        <v>213</v>
      </c>
      <c r="GO1" s="2" t="s">
        <v>214</v>
      </c>
      <c r="GP1" s="2" t="s">
        <v>215</v>
      </c>
      <c r="GQ1" s="2" t="s">
        <v>216</v>
      </c>
      <c r="GR1" s="2" t="s">
        <v>217</v>
      </c>
      <c r="GS1" s="2" t="s">
        <v>218</v>
      </c>
      <c r="GT1" s="2" t="s">
        <v>219</v>
      </c>
      <c r="GU1" s="2" t="s">
        <v>220</v>
      </c>
      <c r="GV1" s="2" t="s">
        <v>221</v>
      </c>
      <c r="GW1" s="2" t="s">
        <v>222</v>
      </c>
      <c r="GX1" s="2" t="s">
        <v>223</v>
      </c>
      <c r="GY1" s="2" t="s">
        <v>224</v>
      </c>
      <c r="GZ1" s="2" t="s">
        <v>225</v>
      </c>
      <c r="HA1" s="2" t="s">
        <v>226</v>
      </c>
      <c r="HB1" s="2" t="s">
        <v>227</v>
      </c>
      <c r="HC1" s="2" t="s">
        <v>228</v>
      </c>
      <c r="HD1" s="2" t="s">
        <v>229</v>
      </c>
      <c r="HE1" s="2" t="s">
        <v>230</v>
      </c>
      <c r="HF1" s="2" t="s">
        <v>231</v>
      </c>
      <c r="HG1" s="2" t="s">
        <v>232</v>
      </c>
      <c r="HH1" s="2" t="s">
        <v>233</v>
      </c>
      <c r="HI1" s="2" t="s">
        <v>234</v>
      </c>
      <c r="HJ1" s="2" t="s">
        <v>235</v>
      </c>
      <c r="HK1" s="2" t="s">
        <v>236</v>
      </c>
      <c r="HL1" s="2" t="s">
        <v>237</v>
      </c>
      <c r="HM1" s="2" t="s">
        <v>238</v>
      </c>
      <c r="HN1" s="2" t="s">
        <v>239</v>
      </c>
      <c r="HO1" s="2" t="s">
        <v>240</v>
      </c>
      <c r="HP1" s="2" t="s">
        <v>241</v>
      </c>
      <c r="HQ1" s="2" t="s">
        <v>242</v>
      </c>
      <c r="HR1" s="2" t="s">
        <v>243</v>
      </c>
      <c r="HS1" s="2" t="s">
        <v>244</v>
      </c>
      <c r="HT1" s="2" t="s">
        <v>245</v>
      </c>
      <c r="HU1" s="2" t="s">
        <v>246</v>
      </c>
      <c r="HV1" s="2" t="s">
        <v>247</v>
      </c>
      <c r="HW1" s="2" t="s">
        <v>248</v>
      </c>
      <c r="HX1" s="2" t="s">
        <v>249</v>
      </c>
      <c r="HY1" s="2" t="s">
        <v>250</v>
      </c>
      <c r="HZ1" s="2" t="s">
        <v>251</v>
      </c>
      <c r="IA1" s="2" t="s">
        <v>252</v>
      </c>
      <c r="IB1" s="2" t="s">
        <v>253</v>
      </c>
      <c r="IC1" s="2" t="s">
        <v>254</v>
      </c>
      <c r="ID1" s="2" t="s">
        <v>255</v>
      </c>
      <c r="IE1" s="2" t="s">
        <v>256</v>
      </c>
      <c r="IF1" s="2" t="s">
        <v>257</v>
      </c>
      <c r="IG1" s="2" t="s">
        <v>258</v>
      </c>
      <c r="IH1" s="2" t="s">
        <v>259</v>
      </c>
      <c r="II1" s="2" t="s">
        <v>260</v>
      </c>
      <c r="IJ1" s="2" t="s">
        <v>261</v>
      </c>
      <c r="IK1" s="2" t="s">
        <v>262</v>
      </c>
      <c r="IL1" s="2" t="s">
        <v>263</v>
      </c>
      <c r="IM1" s="2" t="s">
        <v>264</v>
      </c>
      <c r="IN1" s="2" t="s">
        <v>265</v>
      </c>
      <c r="IO1" s="2" t="s">
        <v>266</v>
      </c>
      <c r="IP1" s="2" t="s">
        <v>267</v>
      </c>
      <c r="IQ1" s="2" t="s">
        <v>268</v>
      </c>
      <c r="IR1" s="2" t="s">
        <v>269</v>
      </c>
      <c r="IS1" s="2" t="s">
        <v>270</v>
      </c>
      <c r="IT1" s="2" t="s">
        <v>271</v>
      </c>
      <c r="IU1" s="2" t="s">
        <v>272</v>
      </c>
      <c r="IV1" s="2" t="s">
        <v>273</v>
      </c>
      <c r="IW1" s="2" t="s">
        <v>274</v>
      </c>
      <c r="IX1" s="2" t="s">
        <v>275</v>
      </c>
      <c r="IY1" s="2" t="s">
        <v>276</v>
      </c>
      <c r="IZ1" s="2" t="s">
        <v>277</v>
      </c>
      <c r="JA1" s="2" t="s">
        <v>278</v>
      </c>
      <c r="JB1" s="2" t="s">
        <v>279</v>
      </c>
      <c r="JC1" s="2" t="s">
        <v>280</v>
      </c>
      <c r="JD1" s="2" t="s">
        <v>281</v>
      </c>
      <c r="JE1" s="2" t="s">
        <v>282</v>
      </c>
      <c r="JF1" s="2" t="s">
        <v>283</v>
      </c>
      <c r="JG1" s="2" t="s">
        <v>284</v>
      </c>
      <c r="JH1" s="2" t="s">
        <v>285</v>
      </c>
      <c r="JI1" s="2" t="s">
        <v>286</v>
      </c>
      <c r="JJ1" s="2" t="s">
        <v>287</v>
      </c>
      <c r="JK1" s="2" t="s">
        <v>288</v>
      </c>
      <c r="JL1" s="2" t="s">
        <v>289</v>
      </c>
      <c r="JM1" s="2" t="s">
        <v>290</v>
      </c>
      <c r="JN1" s="2" t="s">
        <v>291</v>
      </c>
      <c r="JO1" s="2" t="s">
        <v>292</v>
      </c>
      <c r="JP1" s="2" t="s">
        <v>293</v>
      </c>
      <c r="JQ1" s="2" t="s">
        <v>294</v>
      </c>
      <c r="JR1" s="2" t="s">
        <v>295</v>
      </c>
      <c r="JS1" s="2" t="s">
        <v>296</v>
      </c>
      <c r="JT1" s="2" t="s">
        <v>297</v>
      </c>
      <c r="JU1" s="2" t="s">
        <v>298</v>
      </c>
      <c r="JV1" s="2" t="s">
        <v>299</v>
      </c>
      <c r="JW1" s="2" t="s">
        <v>300</v>
      </c>
      <c r="JX1" s="2" t="s">
        <v>301</v>
      </c>
      <c r="JY1" s="2" t="s">
        <v>302</v>
      </c>
      <c r="JZ1" s="2" t="s">
        <v>303</v>
      </c>
      <c r="KA1" s="2" t="s">
        <v>304</v>
      </c>
      <c r="KB1" s="2" t="s">
        <v>305</v>
      </c>
      <c r="KC1" s="2" t="s">
        <v>306</v>
      </c>
      <c r="KD1" s="2" t="s">
        <v>307</v>
      </c>
      <c r="KE1" s="2" t="s">
        <v>308</v>
      </c>
      <c r="KF1" s="2" t="s">
        <v>309</v>
      </c>
      <c r="KG1" s="2" t="s">
        <v>310</v>
      </c>
      <c r="KH1" s="2" t="s">
        <v>311</v>
      </c>
      <c r="KI1" s="2" t="s">
        <v>312</v>
      </c>
      <c r="KJ1" s="2" t="s">
        <v>313</v>
      </c>
      <c r="KK1" s="2" t="s">
        <v>314</v>
      </c>
      <c r="KL1" s="2" t="s">
        <v>315</v>
      </c>
      <c r="KM1" s="2" t="s">
        <v>316</v>
      </c>
      <c r="KN1" s="2" t="s">
        <v>317</v>
      </c>
      <c r="KO1" s="2" t="s">
        <v>318</v>
      </c>
      <c r="KP1" s="2" t="s">
        <v>319</v>
      </c>
      <c r="KQ1" s="2" t="s">
        <v>320</v>
      </c>
      <c r="KR1" s="2" t="s">
        <v>321</v>
      </c>
      <c r="KS1" s="2" t="s">
        <v>322</v>
      </c>
      <c r="KT1" s="2" t="s">
        <v>323</v>
      </c>
      <c r="KU1" s="2" t="s">
        <v>324</v>
      </c>
      <c r="KV1" s="2" t="s">
        <v>325</v>
      </c>
      <c r="KW1" s="2" t="s">
        <v>326</v>
      </c>
      <c r="KX1" s="2" t="s">
        <v>327</v>
      </c>
      <c r="KY1" s="2" t="s">
        <v>328</v>
      </c>
      <c r="KZ1" s="2" t="s">
        <v>329</v>
      </c>
      <c r="LA1" s="2" t="s">
        <v>330</v>
      </c>
      <c r="LB1" s="2" t="s">
        <v>331</v>
      </c>
      <c r="LC1" s="2" t="s">
        <v>332</v>
      </c>
      <c r="LD1" s="2" t="s">
        <v>333</v>
      </c>
      <c r="LE1" s="2" t="s">
        <v>334</v>
      </c>
      <c r="LF1" s="2" t="s">
        <v>335</v>
      </c>
      <c r="LG1" s="2" t="s">
        <v>336</v>
      </c>
      <c r="LH1" s="2" t="s">
        <v>337</v>
      </c>
      <c r="LI1" s="2" t="s">
        <v>338</v>
      </c>
      <c r="LJ1" s="2" t="s">
        <v>339</v>
      </c>
      <c r="LK1" s="2" t="s">
        <v>340</v>
      </c>
      <c r="LL1" s="2" t="s">
        <v>341</v>
      </c>
      <c r="LM1" s="2" t="s">
        <v>342</v>
      </c>
      <c r="LN1" s="2" t="s">
        <v>343</v>
      </c>
      <c r="LO1" s="2" t="s">
        <v>344</v>
      </c>
      <c r="LP1" s="2" t="s">
        <v>345</v>
      </c>
      <c r="LQ1" s="2" t="s">
        <v>346</v>
      </c>
      <c r="LR1" s="2" t="s">
        <v>347</v>
      </c>
      <c r="LS1" s="2" t="s">
        <v>348</v>
      </c>
      <c r="LT1" s="2" t="s">
        <v>349</v>
      </c>
      <c r="LU1" s="2" t="s">
        <v>350</v>
      </c>
      <c r="LV1" s="2" t="s">
        <v>351</v>
      </c>
      <c r="LW1" s="2" t="s">
        <v>352</v>
      </c>
      <c r="LX1" s="2" t="s">
        <v>353</v>
      </c>
      <c r="LY1" s="2" t="s">
        <v>354</v>
      </c>
      <c r="LZ1" s="2" t="s">
        <v>168</v>
      </c>
      <c r="MA1" s="2" t="s">
        <v>172</v>
      </c>
      <c r="MB1" s="2" t="s">
        <v>169</v>
      </c>
      <c r="MC1" s="2" t="s">
        <v>170</v>
      </c>
      <c r="MD1" s="2" t="s">
        <v>185</v>
      </c>
      <c r="ME1" s="2" t="s">
        <v>186</v>
      </c>
    </row>
    <row r="2" spans="1:347" x14ac:dyDescent="0.2">
      <c r="A2" s="2">
        <v>0</v>
      </c>
      <c r="B2" s="4">
        <f>B$338</f>
        <v>0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>
        <f t="shared" ref="LK2:LY16" si="0">LK$338</f>
        <v>0</v>
      </c>
      <c r="LL2" s="5">
        <f t="shared" si="0"/>
        <v>0</v>
      </c>
      <c r="LM2" s="5">
        <f t="shared" si="0"/>
        <v>0</v>
      </c>
      <c r="LN2" s="5">
        <f t="shared" si="0"/>
        <v>0</v>
      </c>
      <c r="LO2" s="5">
        <f t="shared" si="0"/>
        <v>0</v>
      </c>
      <c r="LP2" s="5">
        <f t="shared" si="0"/>
        <v>0</v>
      </c>
      <c r="LQ2" s="5">
        <f t="shared" si="0"/>
        <v>0</v>
      </c>
      <c r="LR2" s="5">
        <f t="shared" si="0"/>
        <v>0</v>
      </c>
      <c r="LS2" s="5">
        <f t="shared" si="0"/>
        <v>0</v>
      </c>
      <c r="LT2" s="5">
        <f t="shared" si="0"/>
        <v>0</v>
      </c>
      <c r="LU2" s="5">
        <f t="shared" si="0"/>
        <v>0</v>
      </c>
      <c r="LV2" s="5">
        <f t="shared" si="0"/>
        <v>0</v>
      </c>
      <c r="LW2" s="5">
        <f t="shared" si="0"/>
        <v>0</v>
      </c>
      <c r="LX2" s="5">
        <f t="shared" si="0"/>
        <v>0</v>
      </c>
      <c r="LY2" s="6">
        <f t="shared" si="0"/>
        <v>0</v>
      </c>
      <c r="LZ2" s="2">
        <v>0.37370014245014199</v>
      </c>
      <c r="MA2" s="1">
        <f>SUM(B2:LY2)</f>
        <v>0</v>
      </c>
      <c r="MB2" s="1">
        <v>0</v>
      </c>
      <c r="MC2" s="2">
        <v>0.37370014000000001</v>
      </c>
      <c r="MD2" s="1">
        <f>MC2-MB2+MA2</f>
        <v>0.37370014000000001</v>
      </c>
      <c r="ME2" s="1">
        <f>MC2+MB2</f>
        <v>0.37370014000000001</v>
      </c>
      <c r="MH2" s="23" t="s">
        <v>355</v>
      </c>
      <c r="MI2" s="23"/>
    </row>
    <row r="3" spans="1:347" x14ac:dyDescent="0.2">
      <c r="A3" s="2">
        <v>0.5</v>
      </c>
      <c r="B3" s="7">
        <f t="shared" ref="B3:AH35" si="1">B$338</f>
        <v>0</v>
      </c>
      <c r="C3" s="3">
        <f>C$338</f>
        <v>0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>
        <f t="shared" si="0"/>
        <v>0</v>
      </c>
      <c r="LM3" s="3">
        <f t="shared" si="0"/>
        <v>0</v>
      </c>
      <c r="LN3" s="3">
        <f t="shared" si="0"/>
        <v>0</v>
      </c>
      <c r="LO3" s="3">
        <f t="shared" si="0"/>
        <v>0</v>
      </c>
      <c r="LP3" s="3">
        <f t="shared" si="0"/>
        <v>0</v>
      </c>
      <c r="LQ3" s="3">
        <f t="shared" si="0"/>
        <v>0</v>
      </c>
      <c r="LR3" s="3">
        <f t="shared" si="0"/>
        <v>0</v>
      </c>
      <c r="LS3" s="3">
        <f t="shared" si="0"/>
        <v>0</v>
      </c>
      <c r="LT3" s="3">
        <f t="shared" si="0"/>
        <v>0</v>
      </c>
      <c r="LU3" s="3">
        <f t="shared" si="0"/>
        <v>0</v>
      </c>
      <c r="LV3" s="3">
        <f t="shared" si="0"/>
        <v>0</v>
      </c>
      <c r="LW3" s="3">
        <f t="shared" si="0"/>
        <v>0</v>
      </c>
      <c r="LX3" s="3">
        <f t="shared" si="0"/>
        <v>0</v>
      </c>
      <c r="LY3" s="8">
        <f t="shared" si="0"/>
        <v>0</v>
      </c>
      <c r="LZ3" s="2">
        <v>0.37370014245014199</v>
      </c>
      <c r="MA3" s="1">
        <f t="shared" ref="MA3:MA66" si="2">SUM(B3:LY3)</f>
        <v>0</v>
      </c>
      <c r="MB3" s="1">
        <v>0</v>
      </c>
      <c r="MC3" s="2">
        <v>0.37370014000000001</v>
      </c>
      <c r="MD3" s="1">
        <f t="shared" ref="MD3:MD66" si="3">MC3-MB3+MA3</f>
        <v>0.37370014000000001</v>
      </c>
      <c r="ME3" s="1">
        <f t="shared" ref="ME3:ME66" si="4">MC3+MB3</f>
        <v>0.37370014000000001</v>
      </c>
      <c r="MH3" s="2" t="s">
        <v>173</v>
      </c>
      <c r="MI3" s="1">
        <f>SUM(ME2:ME337)</f>
        <v>95.946454211999963</v>
      </c>
    </row>
    <row r="4" spans="1:347" x14ac:dyDescent="0.2">
      <c r="A4" s="2">
        <v>1</v>
      </c>
      <c r="B4" s="7">
        <f t="shared" si="1"/>
        <v>0</v>
      </c>
      <c r="C4" s="3">
        <f t="shared" si="1"/>
        <v>0</v>
      </c>
      <c r="D4" s="3">
        <f>D$338</f>
        <v>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>
        <f t="shared" si="0"/>
        <v>0</v>
      </c>
      <c r="LN4" s="3">
        <f t="shared" si="0"/>
        <v>0</v>
      </c>
      <c r="LO4" s="3">
        <f t="shared" si="0"/>
        <v>0</v>
      </c>
      <c r="LP4" s="3">
        <f t="shared" si="0"/>
        <v>0</v>
      </c>
      <c r="LQ4" s="3">
        <f t="shared" si="0"/>
        <v>0</v>
      </c>
      <c r="LR4" s="3">
        <f t="shared" si="0"/>
        <v>0</v>
      </c>
      <c r="LS4" s="3">
        <f t="shared" si="0"/>
        <v>0</v>
      </c>
      <c r="LT4" s="3">
        <f t="shared" si="0"/>
        <v>0</v>
      </c>
      <c r="LU4" s="3">
        <f t="shared" si="0"/>
        <v>0</v>
      </c>
      <c r="LV4" s="3">
        <f t="shared" si="0"/>
        <v>0</v>
      </c>
      <c r="LW4" s="3">
        <f t="shared" si="0"/>
        <v>0</v>
      </c>
      <c r="LX4" s="3">
        <f t="shared" si="0"/>
        <v>0</v>
      </c>
      <c r="LY4" s="8">
        <f t="shared" si="0"/>
        <v>0</v>
      </c>
      <c r="LZ4" s="2">
        <v>0.24824136313897099</v>
      </c>
      <c r="MA4" s="1">
        <f t="shared" si="2"/>
        <v>0</v>
      </c>
      <c r="MB4" s="1">
        <v>0</v>
      </c>
      <c r="MC4" s="2">
        <v>0.24824135999999999</v>
      </c>
      <c r="MD4" s="1">
        <f t="shared" si="3"/>
        <v>0.24824135999999999</v>
      </c>
      <c r="ME4" s="1">
        <f t="shared" si="4"/>
        <v>0.24824135999999999</v>
      </c>
      <c r="MH4" s="2" t="s">
        <v>184</v>
      </c>
      <c r="MI4" s="2">
        <v>14</v>
      </c>
    </row>
    <row r="5" spans="1:347" x14ac:dyDescent="0.2">
      <c r="A5" s="2">
        <v>1.5</v>
      </c>
      <c r="B5" s="7">
        <f t="shared" si="1"/>
        <v>0</v>
      </c>
      <c r="C5" s="3">
        <f t="shared" si="1"/>
        <v>0</v>
      </c>
      <c r="D5" s="3">
        <f t="shared" si="1"/>
        <v>0</v>
      </c>
      <c r="E5" s="3">
        <f>E$338</f>
        <v>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>
        <f t="shared" si="0"/>
        <v>0</v>
      </c>
      <c r="LO5" s="3">
        <f t="shared" si="0"/>
        <v>0</v>
      </c>
      <c r="LP5" s="3">
        <f t="shared" si="0"/>
        <v>0</v>
      </c>
      <c r="LQ5" s="3">
        <f t="shared" si="0"/>
        <v>0</v>
      </c>
      <c r="LR5" s="3">
        <f t="shared" si="0"/>
        <v>0</v>
      </c>
      <c r="LS5" s="3">
        <f t="shared" si="0"/>
        <v>0</v>
      </c>
      <c r="LT5" s="3">
        <f t="shared" si="0"/>
        <v>0</v>
      </c>
      <c r="LU5" s="3">
        <f t="shared" si="0"/>
        <v>0</v>
      </c>
      <c r="LV5" s="3">
        <f t="shared" si="0"/>
        <v>0</v>
      </c>
      <c r="LW5" s="3">
        <f t="shared" si="0"/>
        <v>0</v>
      </c>
      <c r="LX5" s="3">
        <f t="shared" si="0"/>
        <v>0</v>
      </c>
      <c r="LY5" s="8">
        <f t="shared" si="0"/>
        <v>0</v>
      </c>
      <c r="LZ5" s="2">
        <v>0.24824136313897099</v>
      </c>
      <c r="MA5" s="1">
        <f t="shared" si="2"/>
        <v>0</v>
      </c>
      <c r="MB5" s="1">
        <v>0</v>
      </c>
      <c r="MC5" s="2">
        <v>0.24824135999999999</v>
      </c>
      <c r="MD5" s="1">
        <f t="shared" si="3"/>
        <v>0.24824135999999999</v>
      </c>
      <c r="ME5" s="1">
        <f t="shared" si="4"/>
        <v>0.24824135999999999</v>
      </c>
      <c r="MH5" s="2" t="s">
        <v>171</v>
      </c>
      <c r="MI5" s="2">
        <f>SUM(B338:LY338)</f>
        <v>7</v>
      </c>
    </row>
    <row r="6" spans="1:347" x14ac:dyDescent="0.2">
      <c r="A6" s="2">
        <v>2</v>
      </c>
      <c r="B6" s="7">
        <f t="shared" si="1"/>
        <v>0</v>
      </c>
      <c r="C6" s="3">
        <f t="shared" si="1"/>
        <v>0</v>
      </c>
      <c r="D6" s="3">
        <f t="shared" si="1"/>
        <v>0</v>
      </c>
      <c r="E6" s="3">
        <f t="shared" si="1"/>
        <v>0</v>
      </c>
      <c r="F6" s="3">
        <f>F$338</f>
        <v>0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>
        <f t="shared" si="0"/>
        <v>0</v>
      </c>
      <c r="LP6" s="3">
        <f t="shared" si="0"/>
        <v>0</v>
      </c>
      <c r="LQ6" s="3">
        <f t="shared" si="0"/>
        <v>0</v>
      </c>
      <c r="LR6" s="3">
        <f t="shared" si="0"/>
        <v>0</v>
      </c>
      <c r="LS6" s="3">
        <f t="shared" si="0"/>
        <v>0</v>
      </c>
      <c r="LT6" s="3">
        <f t="shared" si="0"/>
        <v>0</v>
      </c>
      <c r="LU6" s="3">
        <f t="shared" si="0"/>
        <v>0</v>
      </c>
      <c r="LV6" s="3">
        <f t="shared" si="0"/>
        <v>0</v>
      </c>
      <c r="LW6" s="3">
        <f t="shared" si="0"/>
        <v>0</v>
      </c>
      <c r="LX6" s="3">
        <f t="shared" si="0"/>
        <v>0</v>
      </c>
      <c r="LY6" s="8">
        <f t="shared" si="0"/>
        <v>0</v>
      </c>
      <c r="LZ6" s="2">
        <v>0.166181229773463</v>
      </c>
      <c r="MA6" s="1">
        <f t="shared" si="2"/>
        <v>0</v>
      </c>
      <c r="MB6" s="1">
        <v>0</v>
      </c>
      <c r="MC6" s="2">
        <v>0.16618123000000001</v>
      </c>
      <c r="MD6" s="1">
        <f t="shared" si="3"/>
        <v>0.16618123000000001</v>
      </c>
      <c r="ME6" s="1">
        <f t="shared" si="4"/>
        <v>0.16618123000000001</v>
      </c>
      <c r="MH6" s="2" t="s">
        <v>174</v>
      </c>
      <c r="MI6" s="2">
        <f>SUM(B338:AW338)</f>
        <v>1</v>
      </c>
    </row>
    <row r="7" spans="1:347" x14ac:dyDescent="0.2">
      <c r="A7" s="2">
        <v>2.5</v>
      </c>
      <c r="B7" s="7">
        <f t="shared" si="1"/>
        <v>0</v>
      </c>
      <c r="C7" s="3">
        <f t="shared" si="1"/>
        <v>0</v>
      </c>
      <c r="D7" s="3">
        <f t="shared" si="1"/>
        <v>0</v>
      </c>
      <c r="E7" s="3">
        <f t="shared" si="1"/>
        <v>0</v>
      </c>
      <c r="F7" s="3">
        <f t="shared" si="1"/>
        <v>0</v>
      </c>
      <c r="G7" s="3">
        <f>G$338</f>
        <v>0</v>
      </c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>
        <f t="shared" si="0"/>
        <v>0</v>
      </c>
      <c r="LQ7" s="3">
        <f t="shared" si="0"/>
        <v>0</v>
      </c>
      <c r="LR7" s="3">
        <f t="shared" si="0"/>
        <v>0</v>
      </c>
      <c r="LS7" s="3">
        <f t="shared" si="0"/>
        <v>0</v>
      </c>
      <c r="LT7" s="3">
        <f t="shared" si="0"/>
        <v>0</v>
      </c>
      <c r="LU7" s="3">
        <f t="shared" si="0"/>
        <v>0</v>
      </c>
      <c r="LV7" s="3">
        <f t="shared" si="0"/>
        <v>0</v>
      </c>
      <c r="LW7" s="3">
        <f t="shared" si="0"/>
        <v>0</v>
      </c>
      <c r="LX7" s="3">
        <f t="shared" si="0"/>
        <v>0</v>
      </c>
      <c r="LY7" s="8">
        <f t="shared" si="0"/>
        <v>0</v>
      </c>
      <c r="LZ7" s="2">
        <v>0.166181229773463</v>
      </c>
      <c r="MA7" s="1">
        <f t="shared" si="2"/>
        <v>0</v>
      </c>
      <c r="MB7" s="1">
        <v>0</v>
      </c>
      <c r="MC7" s="2">
        <v>0.16618123000000001</v>
      </c>
      <c r="MD7" s="1">
        <f t="shared" si="3"/>
        <v>0.16618123000000001</v>
      </c>
      <c r="ME7" s="1">
        <f t="shared" si="4"/>
        <v>0.16618123000000001</v>
      </c>
      <c r="MH7" s="2" t="s">
        <v>176</v>
      </c>
      <c r="MI7" s="2">
        <f>SUM(CT338:EO338)</f>
        <v>1</v>
      </c>
    </row>
    <row r="8" spans="1:347" x14ac:dyDescent="0.2">
      <c r="A8" s="2">
        <v>3</v>
      </c>
      <c r="B8" s="7">
        <f t="shared" si="1"/>
        <v>0</v>
      </c>
      <c r="C8" s="3">
        <f t="shared" si="1"/>
        <v>0</v>
      </c>
      <c r="D8" s="3">
        <f t="shared" si="1"/>
        <v>0</v>
      </c>
      <c r="E8" s="3">
        <f t="shared" si="1"/>
        <v>0</v>
      </c>
      <c r="F8" s="3">
        <f t="shared" si="1"/>
        <v>0</v>
      </c>
      <c r="G8" s="3">
        <f t="shared" si="1"/>
        <v>0</v>
      </c>
      <c r="H8" s="3">
        <f>H$338</f>
        <v>0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>
        <f t="shared" si="0"/>
        <v>0</v>
      </c>
      <c r="LR8" s="3">
        <f t="shared" si="0"/>
        <v>0</v>
      </c>
      <c r="LS8" s="3">
        <f t="shared" si="0"/>
        <v>0</v>
      </c>
      <c r="LT8" s="3">
        <f t="shared" si="0"/>
        <v>0</v>
      </c>
      <c r="LU8" s="3">
        <f t="shared" si="0"/>
        <v>0</v>
      </c>
      <c r="LV8" s="3">
        <f t="shared" si="0"/>
        <v>0</v>
      </c>
      <c r="LW8" s="3">
        <f t="shared" si="0"/>
        <v>0</v>
      </c>
      <c r="LX8" s="3">
        <f t="shared" si="0"/>
        <v>0</v>
      </c>
      <c r="LY8" s="8">
        <f t="shared" si="0"/>
        <v>0</v>
      </c>
      <c r="LZ8" s="2">
        <v>0.125044091710758</v>
      </c>
      <c r="MA8" s="1">
        <f t="shared" si="2"/>
        <v>0</v>
      </c>
      <c r="MB8" s="1">
        <v>0</v>
      </c>
      <c r="MC8" s="2">
        <v>0.12504409</v>
      </c>
      <c r="MD8" s="1">
        <f t="shared" si="3"/>
        <v>0.12504409</v>
      </c>
      <c r="ME8" s="1">
        <f t="shared" si="4"/>
        <v>0.12504409</v>
      </c>
      <c r="MH8" s="2" t="s">
        <v>177</v>
      </c>
      <c r="MI8" s="2">
        <f>SUM(CT338:EO338)</f>
        <v>1</v>
      </c>
    </row>
    <row r="9" spans="1:347" x14ac:dyDescent="0.2">
      <c r="A9" s="2">
        <v>3.5</v>
      </c>
      <c r="B9" s="7">
        <f t="shared" si="1"/>
        <v>0</v>
      </c>
      <c r="C9" s="3">
        <f t="shared" si="1"/>
        <v>0</v>
      </c>
      <c r="D9" s="3">
        <f t="shared" si="1"/>
        <v>0</v>
      </c>
      <c r="E9" s="3">
        <f t="shared" si="1"/>
        <v>0</v>
      </c>
      <c r="F9" s="3">
        <f t="shared" si="1"/>
        <v>0</v>
      </c>
      <c r="G9" s="3">
        <f t="shared" si="1"/>
        <v>0</v>
      </c>
      <c r="H9" s="3">
        <f t="shared" si="1"/>
        <v>0</v>
      </c>
      <c r="I9" s="3">
        <f>I$338</f>
        <v>0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>
        <f t="shared" si="0"/>
        <v>0</v>
      </c>
      <c r="LS9" s="3">
        <f t="shared" si="0"/>
        <v>0</v>
      </c>
      <c r="LT9" s="3">
        <f t="shared" si="0"/>
        <v>0</v>
      </c>
      <c r="LU9" s="3">
        <f t="shared" si="0"/>
        <v>0</v>
      </c>
      <c r="LV9" s="3">
        <f t="shared" si="0"/>
        <v>0</v>
      </c>
      <c r="LW9" s="3">
        <f t="shared" si="0"/>
        <v>0</v>
      </c>
      <c r="LX9" s="3">
        <f t="shared" si="0"/>
        <v>0</v>
      </c>
      <c r="LY9" s="8">
        <f t="shared" si="0"/>
        <v>0</v>
      </c>
      <c r="LZ9" s="2">
        <v>0.125044091710758</v>
      </c>
      <c r="MA9" s="1">
        <f t="shared" si="2"/>
        <v>0</v>
      </c>
      <c r="MB9" s="1">
        <v>0</v>
      </c>
      <c r="MC9" s="2">
        <v>0.12504409</v>
      </c>
      <c r="MD9" s="1">
        <f t="shared" si="3"/>
        <v>0.12504409</v>
      </c>
      <c r="ME9" s="1">
        <f t="shared" si="4"/>
        <v>0.12504409</v>
      </c>
      <c r="MH9" s="2" t="s">
        <v>178</v>
      </c>
      <c r="MI9" s="2">
        <f>SUM(EP338:GK338)</f>
        <v>1</v>
      </c>
    </row>
    <row r="10" spans="1:347" x14ac:dyDescent="0.2">
      <c r="A10" s="2">
        <v>4</v>
      </c>
      <c r="B10" s="7">
        <f t="shared" si="1"/>
        <v>0</v>
      </c>
      <c r="C10" s="3">
        <f t="shared" si="1"/>
        <v>0</v>
      </c>
      <c r="D10" s="3">
        <f t="shared" si="1"/>
        <v>0</v>
      </c>
      <c r="E10" s="3">
        <f t="shared" si="1"/>
        <v>0</v>
      </c>
      <c r="F10" s="3">
        <f t="shared" si="1"/>
        <v>0</v>
      </c>
      <c r="G10" s="3">
        <f t="shared" si="1"/>
        <v>0</v>
      </c>
      <c r="H10" s="3">
        <f t="shared" si="1"/>
        <v>0</v>
      </c>
      <c r="I10" s="3">
        <f t="shared" si="1"/>
        <v>0</v>
      </c>
      <c r="J10" s="3">
        <f>J$338</f>
        <v>0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>
        <f t="shared" si="0"/>
        <v>0</v>
      </c>
      <c r="LT10" s="3">
        <f t="shared" si="0"/>
        <v>0</v>
      </c>
      <c r="LU10" s="3">
        <f t="shared" si="0"/>
        <v>0</v>
      </c>
      <c r="LV10" s="3">
        <f t="shared" si="0"/>
        <v>0</v>
      </c>
      <c r="LW10" s="3">
        <f t="shared" si="0"/>
        <v>0</v>
      </c>
      <c r="LX10" s="3">
        <f t="shared" si="0"/>
        <v>0</v>
      </c>
      <c r="LY10" s="8">
        <f t="shared" si="0"/>
        <v>0</v>
      </c>
      <c r="LZ10" s="2">
        <v>0.109294532627866</v>
      </c>
      <c r="MA10" s="1">
        <f t="shared" si="2"/>
        <v>0</v>
      </c>
      <c r="MB10" s="1">
        <v>0</v>
      </c>
      <c r="MC10" s="2">
        <v>0.10929453</v>
      </c>
      <c r="MD10" s="1">
        <f t="shared" si="3"/>
        <v>0.10929453</v>
      </c>
      <c r="ME10" s="1">
        <f t="shared" si="4"/>
        <v>0.10929453</v>
      </c>
      <c r="MH10" s="2" t="s">
        <v>179</v>
      </c>
      <c r="MI10" s="2">
        <f>SUM(GL338:IG338)</f>
        <v>1</v>
      </c>
    </row>
    <row r="11" spans="1:347" x14ac:dyDescent="0.2">
      <c r="A11" s="2">
        <v>4.5</v>
      </c>
      <c r="B11" s="7">
        <f t="shared" si="1"/>
        <v>0</v>
      </c>
      <c r="C11" s="3">
        <f t="shared" si="1"/>
        <v>0</v>
      </c>
      <c r="D11" s="3">
        <f t="shared" si="1"/>
        <v>0</v>
      </c>
      <c r="E11" s="3">
        <f t="shared" si="1"/>
        <v>0</v>
      </c>
      <c r="F11" s="3">
        <f t="shared" si="1"/>
        <v>0</v>
      </c>
      <c r="G11" s="3">
        <f t="shared" si="1"/>
        <v>0</v>
      </c>
      <c r="H11" s="3">
        <f t="shared" si="1"/>
        <v>0</v>
      </c>
      <c r="I11" s="3">
        <f t="shared" si="1"/>
        <v>0</v>
      </c>
      <c r="J11" s="3">
        <f t="shared" si="1"/>
        <v>0</v>
      </c>
      <c r="K11" s="3">
        <f>K$338</f>
        <v>0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>
        <f t="shared" si="0"/>
        <v>0</v>
      </c>
      <c r="LU11" s="3">
        <f t="shared" si="0"/>
        <v>0</v>
      </c>
      <c r="LV11" s="3">
        <f t="shared" si="0"/>
        <v>0</v>
      </c>
      <c r="LW11" s="3">
        <f t="shared" si="0"/>
        <v>0</v>
      </c>
      <c r="LX11" s="3">
        <f t="shared" si="0"/>
        <v>0</v>
      </c>
      <c r="LY11" s="8">
        <f t="shared" si="0"/>
        <v>0</v>
      </c>
      <c r="LZ11" s="2">
        <v>0.109294532627866</v>
      </c>
      <c r="MA11" s="1">
        <f t="shared" si="2"/>
        <v>0</v>
      </c>
      <c r="MB11" s="1">
        <v>0</v>
      </c>
      <c r="MC11" s="2">
        <v>0.10929453</v>
      </c>
      <c r="MD11" s="1">
        <f t="shared" si="3"/>
        <v>0.10929453</v>
      </c>
      <c r="ME11" s="1">
        <f t="shared" si="4"/>
        <v>0.10929453</v>
      </c>
      <c r="MH11" s="2" t="s">
        <v>180</v>
      </c>
      <c r="MI11" s="2">
        <f>SUM(IH338:KC338)</f>
        <v>1</v>
      </c>
    </row>
    <row r="12" spans="1:347" x14ac:dyDescent="0.2">
      <c r="A12" s="2">
        <v>5</v>
      </c>
      <c r="B12" s="7">
        <f t="shared" si="1"/>
        <v>0</v>
      </c>
      <c r="C12" s="3">
        <f t="shared" si="1"/>
        <v>0</v>
      </c>
      <c r="D12" s="3">
        <f t="shared" si="1"/>
        <v>0</v>
      </c>
      <c r="E12" s="3">
        <f t="shared" si="1"/>
        <v>0</v>
      </c>
      <c r="F12" s="3">
        <f t="shared" si="1"/>
        <v>0</v>
      </c>
      <c r="G12" s="3">
        <f t="shared" si="1"/>
        <v>0</v>
      </c>
      <c r="H12" s="3">
        <f t="shared" si="1"/>
        <v>0</v>
      </c>
      <c r="I12" s="3">
        <f t="shared" si="1"/>
        <v>0</v>
      </c>
      <c r="J12" s="3">
        <f t="shared" si="1"/>
        <v>0</v>
      </c>
      <c r="K12" s="3">
        <f t="shared" si="1"/>
        <v>0</v>
      </c>
      <c r="L12" s="3">
        <f>L$338</f>
        <v>0</v>
      </c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>
        <f t="shared" si="0"/>
        <v>0</v>
      </c>
      <c r="LV12" s="3">
        <f t="shared" si="0"/>
        <v>0</v>
      </c>
      <c r="LW12" s="3">
        <f t="shared" si="0"/>
        <v>0</v>
      </c>
      <c r="LX12" s="3">
        <f t="shared" si="0"/>
        <v>0</v>
      </c>
      <c r="LY12" s="8">
        <f t="shared" si="0"/>
        <v>0</v>
      </c>
      <c r="LZ12" s="2">
        <v>0.105167548500882</v>
      </c>
      <c r="MA12" s="1">
        <f t="shared" si="2"/>
        <v>0</v>
      </c>
      <c r="MB12" s="1">
        <v>0</v>
      </c>
      <c r="MC12" s="2">
        <v>0.10516755</v>
      </c>
      <c r="MD12" s="1">
        <f t="shared" si="3"/>
        <v>0.10516755</v>
      </c>
      <c r="ME12" s="1">
        <f t="shared" si="4"/>
        <v>0.10516755</v>
      </c>
      <c r="MH12" s="2" t="s">
        <v>181</v>
      </c>
      <c r="MI12" s="2">
        <f>SUM(KD338:LY338)</f>
        <v>1</v>
      </c>
    </row>
    <row r="13" spans="1:347" x14ac:dyDescent="0.2">
      <c r="A13" s="2">
        <v>5.5</v>
      </c>
      <c r="B13" s="7">
        <f t="shared" si="1"/>
        <v>0</v>
      </c>
      <c r="C13" s="3">
        <f t="shared" si="1"/>
        <v>0</v>
      </c>
      <c r="D13" s="3">
        <f t="shared" si="1"/>
        <v>0</v>
      </c>
      <c r="E13" s="3">
        <f t="shared" si="1"/>
        <v>0</v>
      </c>
      <c r="F13" s="3">
        <f t="shared" si="1"/>
        <v>0</v>
      </c>
      <c r="G13" s="3">
        <f t="shared" si="1"/>
        <v>0</v>
      </c>
      <c r="H13" s="3">
        <f t="shared" si="1"/>
        <v>0</v>
      </c>
      <c r="I13" s="3">
        <f t="shared" si="1"/>
        <v>0</v>
      </c>
      <c r="J13" s="3">
        <f t="shared" si="1"/>
        <v>0</v>
      </c>
      <c r="K13" s="3">
        <f t="shared" si="1"/>
        <v>0</v>
      </c>
      <c r="L13" s="3">
        <f t="shared" si="1"/>
        <v>0</v>
      </c>
      <c r="M13" s="3">
        <f>M$338</f>
        <v>0</v>
      </c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>
        <f t="shared" si="0"/>
        <v>0</v>
      </c>
      <c r="LW13" s="3">
        <f t="shared" si="0"/>
        <v>0</v>
      </c>
      <c r="LX13" s="3">
        <f t="shared" si="0"/>
        <v>0</v>
      </c>
      <c r="LY13" s="8">
        <f t="shared" si="0"/>
        <v>0</v>
      </c>
      <c r="LZ13" s="2">
        <v>0.105167548500882</v>
      </c>
      <c r="MA13" s="1">
        <f t="shared" si="2"/>
        <v>0</v>
      </c>
      <c r="MB13" s="1">
        <v>0</v>
      </c>
      <c r="MC13" s="2">
        <v>0.10516755</v>
      </c>
      <c r="MD13" s="1">
        <f t="shared" si="3"/>
        <v>0.10516755</v>
      </c>
      <c r="ME13" s="1">
        <f t="shared" si="4"/>
        <v>0.10516755</v>
      </c>
    </row>
    <row r="14" spans="1:347" x14ac:dyDescent="0.2">
      <c r="A14" s="2">
        <v>6</v>
      </c>
      <c r="B14" s="7">
        <f t="shared" si="1"/>
        <v>0</v>
      </c>
      <c r="C14" s="3">
        <f t="shared" si="1"/>
        <v>0</v>
      </c>
      <c r="D14" s="3">
        <f t="shared" si="1"/>
        <v>0</v>
      </c>
      <c r="E14" s="3">
        <f t="shared" si="1"/>
        <v>0</v>
      </c>
      <c r="F14" s="3">
        <f t="shared" si="1"/>
        <v>0</v>
      </c>
      <c r="G14" s="3">
        <f t="shared" si="1"/>
        <v>0</v>
      </c>
      <c r="H14" s="3">
        <f t="shared" si="1"/>
        <v>0</v>
      </c>
      <c r="I14" s="3">
        <f t="shared" si="1"/>
        <v>0</v>
      </c>
      <c r="J14" s="3">
        <f t="shared" si="1"/>
        <v>0</v>
      </c>
      <c r="K14" s="3">
        <f t="shared" si="1"/>
        <v>0</v>
      </c>
      <c r="L14" s="3">
        <f t="shared" si="1"/>
        <v>0</v>
      </c>
      <c r="M14" s="3">
        <f t="shared" si="1"/>
        <v>0</v>
      </c>
      <c r="N14" s="3">
        <f>N$338</f>
        <v>0</v>
      </c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>
        <f t="shared" si="0"/>
        <v>0</v>
      </c>
      <c r="LX14" s="3">
        <f t="shared" si="0"/>
        <v>0</v>
      </c>
      <c r="LY14" s="8">
        <f t="shared" si="0"/>
        <v>0</v>
      </c>
      <c r="LZ14" s="2">
        <v>0.10490299823633201</v>
      </c>
      <c r="MA14" s="1">
        <f t="shared" si="2"/>
        <v>0</v>
      </c>
      <c r="MB14" s="1">
        <v>0</v>
      </c>
      <c r="MC14" s="2">
        <v>0.104903</v>
      </c>
      <c r="MD14" s="1">
        <f t="shared" si="3"/>
        <v>0.104903</v>
      </c>
      <c r="ME14" s="1">
        <f t="shared" si="4"/>
        <v>0.104903</v>
      </c>
    </row>
    <row r="15" spans="1:347" x14ac:dyDescent="0.2">
      <c r="A15" s="2">
        <v>6.5</v>
      </c>
      <c r="B15" s="7">
        <f t="shared" si="1"/>
        <v>0</v>
      </c>
      <c r="C15" s="3">
        <f t="shared" si="1"/>
        <v>0</v>
      </c>
      <c r="D15" s="3">
        <f t="shared" si="1"/>
        <v>0</v>
      </c>
      <c r="E15" s="3">
        <f t="shared" si="1"/>
        <v>0</v>
      </c>
      <c r="F15" s="3">
        <f t="shared" si="1"/>
        <v>0</v>
      </c>
      <c r="G15" s="3">
        <f t="shared" si="1"/>
        <v>0</v>
      </c>
      <c r="H15" s="3">
        <f t="shared" si="1"/>
        <v>0</v>
      </c>
      <c r="I15" s="3">
        <f t="shared" si="1"/>
        <v>0</v>
      </c>
      <c r="J15" s="3">
        <f t="shared" si="1"/>
        <v>0</v>
      </c>
      <c r="K15" s="3">
        <f t="shared" si="1"/>
        <v>0</v>
      </c>
      <c r="L15" s="3">
        <f t="shared" si="1"/>
        <v>0</v>
      </c>
      <c r="M15" s="3">
        <f t="shared" si="1"/>
        <v>0</v>
      </c>
      <c r="N15" s="3">
        <f t="shared" si="1"/>
        <v>0</v>
      </c>
      <c r="O15" s="3">
        <f>O$338</f>
        <v>0</v>
      </c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>
        <f t="shared" si="0"/>
        <v>0</v>
      </c>
      <c r="LY15" s="8">
        <f t="shared" si="0"/>
        <v>0</v>
      </c>
      <c r="LZ15" s="2">
        <v>0.10490299823633201</v>
      </c>
      <c r="MA15" s="1">
        <f t="shared" si="2"/>
        <v>0</v>
      </c>
      <c r="MB15" s="1">
        <v>0</v>
      </c>
      <c r="MC15" s="2">
        <v>0.104903</v>
      </c>
      <c r="MD15" s="1">
        <f t="shared" si="3"/>
        <v>0.104903</v>
      </c>
      <c r="ME15" s="1">
        <f t="shared" si="4"/>
        <v>0.104903</v>
      </c>
    </row>
    <row r="16" spans="1:347" x14ac:dyDescent="0.2">
      <c r="A16" s="2">
        <v>7</v>
      </c>
      <c r="B16" s="7">
        <f t="shared" si="1"/>
        <v>0</v>
      </c>
      <c r="C16" s="3">
        <f t="shared" si="1"/>
        <v>0</v>
      </c>
      <c r="D16" s="3">
        <f t="shared" si="1"/>
        <v>0</v>
      </c>
      <c r="E16" s="3">
        <f t="shared" si="1"/>
        <v>0</v>
      </c>
      <c r="F16" s="3">
        <f t="shared" si="1"/>
        <v>0</v>
      </c>
      <c r="G16" s="3">
        <f t="shared" si="1"/>
        <v>0</v>
      </c>
      <c r="H16" s="3">
        <f t="shared" si="1"/>
        <v>0</v>
      </c>
      <c r="I16" s="3">
        <f t="shared" si="1"/>
        <v>0</v>
      </c>
      <c r="J16" s="3">
        <f t="shared" si="1"/>
        <v>0</v>
      </c>
      <c r="K16" s="3">
        <f t="shared" si="1"/>
        <v>0</v>
      </c>
      <c r="L16" s="3">
        <f t="shared" si="1"/>
        <v>0</v>
      </c>
      <c r="M16" s="3">
        <f t="shared" si="1"/>
        <v>0</v>
      </c>
      <c r="N16" s="3">
        <f t="shared" si="1"/>
        <v>0</v>
      </c>
      <c r="O16" s="3">
        <f t="shared" si="1"/>
        <v>0</v>
      </c>
      <c r="P16" s="3">
        <f>P$338</f>
        <v>0</v>
      </c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8">
        <f t="shared" si="0"/>
        <v>0</v>
      </c>
      <c r="LZ16" s="2">
        <v>0.101693121693122</v>
      </c>
      <c r="MA16" s="1">
        <f t="shared" si="2"/>
        <v>0</v>
      </c>
      <c r="MB16" s="1">
        <v>0</v>
      </c>
      <c r="MC16" s="2">
        <v>0.10169312</v>
      </c>
      <c r="MD16" s="1">
        <f t="shared" si="3"/>
        <v>0.10169312</v>
      </c>
      <c r="ME16" s="1">
        <f t="shared" si="4"/>
        <v>0.10169312</v>
      </c>
    </row>
    <row r="17" spans="1:343" x14ac:dyDescent="0.2">
      <c r="A17" s="2">
        <v>7.5</v>
      </c>
      <c r="B17" s="7">
        <f t="shared" si="1"/>
        <v>0</v>
      </c>
      <c r="C17" s="3">
        <f t="shared" si="1"/>
        <v>0</v>
      </c>
      <c r="D17" s="3">
        <f t="shared" si="1"/>
        <v>0</v>
      </c>
      <c r="E17" s="3">
        <f t="shared" si="1"/>
        <v>0</v>
      </c>
      <c r="F17" s="3">
        <f t="shared" si="1"/>
        <v>0</v>
      </c>
      <c r="G17" s="3">
        <f t="shared" si="1"/>
        <v>0</v>
      </c>
      <c r="H17" s="3">
        <f t="shared" si="1"/>
        <v>0</v>
      </c>
      <c r="I17" s="3">
        <f t="shared" si="1"/>
        <v>0</v>
      </c>
      <c r="J17" s="3">
        <f t="shared" si="1"/>
        <v>0</v>
      </c>
      <c r="K17" s="3">
        <f t="shared" si="1"/>
        <v>0</v>
      </c>
      <c r="L17" s="3">
        <f t="shared" si="1"/>
        <v>0</v>
      </c>
      <c r="M17" s="3">
        <f t="shared" si="1"/>
        <v>0</v>
      </c>
      <c r="N17" s="3">
        <f t="shared" si="1"/>
        <v>0</v>
      </c>
      <c r="O17" s="3">
        <f t="shared" si="1"/>
        <v>0</v>
      </c>
      <c r="P17" s="3">
        <f t="shared" si="1"/>
        <v>0</v>
      </c>
      <c r="Q17" s="3">
        <f>Q$338</f>
        <v>0</v>
      </c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8"/>
      <c r="LZ17" s="2">
        <v>0.101693121693122</v>
      </c>
      <c r="MA17" s="1">
        <f t="shared" si="2"/>
        <v>0</v>
      </c>
      <c r="MB17" s="1">
        <v>0</v>
      </c>
      <c r="MC17" s="2">
        <v>0.10169312</v>
      </c>
      <c r="MD17" s="1">
        <f t="shared" si="3"/>
        <v>0.10169312</v>
      </c>
      <c r="ME17" s="1">
        <f t="shared" si="4"/>
        <v>0.10169312</v>
      </c>
    </row>
    <row r="18" spans="1:343" x14ac:dyDescent="0.2">
      <c r="A18" s="2">
        <v>8</v>
      </c>
      <c r="B18" s="7"/>
      <c r="C18" s="3">
        <f t="shared" si="1"/>
        <v>0</v>
      </c>
      <c r="D18" s="3">
        <f t="shared" si="1"/>
        <v>0</v>
      </c>
      <c r="E18" s="3">
        <f t="shared" si="1"/>
        <v>0</v>
      </c>
      <c r="F18" s="3">
        <f t="shared" si="1"/>
        <v>0</v>
      </c>
      <c r="G18" s="3">
        <f t="shared" si="1"/>
        <v>0</v>
      </c>
      <c r="H18" s="3">
        <f t="shared" si="1"/>
        <v>0</v>
      </c>
      <c r="I18" s="3">
        <f t="shared" si="1"/>
        <v>0</v>
      </c>
      <c r="J18" s="3">
        <f t="shared" si="1"/>
        <v>0</v>
      </c>
      <c r="K18" s="3">
        <f t="shared" si="1"/>
        <v>0</v>
      </c>
      <c r="L18" s="3">
        <f t="shared" si="1"/>
        <v>0</v>
      </c>
      <c r="M18" s="3">
        <f t="shared" si="1"/>
        <v>0</v>
      </c>
      <c r="N18" s="3">
        <f t="shared" si="1"/>
        <v>0</v>
      </c>
      <c r="O18" s="3">
        <f t="shared" si="1"/>
        <v>0</v>
      </c>
      <c r="P18" s="3">
        <f t="shared" si="1"/>
        <v>0</v>
      </c>
      <c r="Q18" s="3">
        <f t="shared" si="1"/>
        <v>0</v>
      </c>
      <c r="R18" s="3">
        <f>R$338</f>
        <v>0</v>
      </c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8"/>
      <c r="LZ18" s="2">
        <v>0.13661375661375699</v>
      </c>
      <c r="MA18" s="1">
        <f t="shared" si="2"/>
        <v>0</v>
      </c>
      <c r="MB18" s="1">
        <v>0</v>
      </c>
      <c r="MC18" s="2">
        <v>0.13661376</v>
      </c>
      <c r="MD18" s="1">
        <f t="shared" si="3"/>
        <v>0.13661376</v>
      </c>
      <c r="ME18" s="1">
        <f t="shared" si="4"/>
        <v>0.13661376</v>
      </c>
    </row>
    <row r="19" spans="1:343" x14ac:dyDescent="0.2">
      <c r="A19" s="2">
        <v>8.5</v>
      </c>
      <c r="B19" s="7"/>
      <c r="C19" s="3"/>
      <c r="D19" s="3">
        <f t="shared" ref="D19:AG44" si="5">D$338</f>
        <v>0</v>
      </c>
      <c r="E19" s="3">
        <f t="shared" si="5"/>
        <v>0</v>
      </c>
      <c r="F19" s="3">
        <f t="shared" si="5"/>
        <v>0</v>
      </c>
      <c r="G19" s="3">
        <f t="shared" si="5"/>
        <v>0</v>
      </c>
      <c r="H19" s="3">
        <f t="shared" si="5"/>
        <v>0</v>
      </c>
      <c r="I19" s="3">
        <f t="shared" si="5"/>
        <v>0</v>
      </c>
      <c r="J19" s="3">
        <f t="shared" si="5"/>
        <v>0</v>
      </c>
      <c r="K19" s="3">
        <f t="shared" si="5"/>
        <v>0</v>
      </c>
      <c r="L19" s="3">
        <f t="shared" si="5"/>
        <v>0</v>
      </c>
      <c r="M19" s="3">
        <f t="shared" si="5"/>
        <v>0</v>
      </c>
      <c r="N19" s="3">
        <f t="shared" si="5"/>
        <v>0</v>
      </c>
      <c r="O19" s="3">
        <f t="shared" si="5"/>
        <v>0</v>
      </c>
      <c r="P19" s="3">
        <f t="shared" si="5"/>
        <v>0</v>
      </c>
      <c r="Q19" s="3">
        <f t="shared" si="5"/>
        <v>0</v>
      </c>
      <c r="R19" s="3">
        <f t="shared" si="1"/>
        <v>0</v>
      </c>
      <c r="S19" s="3">
        <f>S$338</f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8"/>
      <c r="LZ19" s="2">
        <v>0.13661375661375699</v>
      </c>
      <c r="MA19" s="1">
        <f t="shared" si="2"/>
        <v>0</v>
      </c>
      <c r="MB19" s="1">
        <v>0</v>
      </c>
      <c r="MC19" s="2">
        <v>0.13661376</v>
      </c>
      <c r="MD19" s="1">
        <f t="shared" si="3"/>
        <v>0.13661376</v>
      </c>
      <c r="ME19" s="1">
        <f t="shared" si="4"/>
        <v>0.13661376</v>
      </c>
    </row>
    <row r="20" spans="1:343" x14ac:dyDescent="0.2">
      <c r="A20" s="2">
        <v>9</v>
      </c>
      <c r="B20" s="7"/>
      <c r="C20" s="3"/>
      <c r="D20" s="3"/>
      <c r="E20" s="3">
        <f t="shared" si="5"/>
        <v>0</v>
      </c>
      <c r="F20" s="3">
        <f t="shared" si="5"/>
        <v>0</v>
      </c>
      <c r="G20" s="3">
        <f t="shared" si="5"/>
        <v>0</v>
      </c>
      <c r="H20" s="3">
        <f t="shared" si="5"/>
        <v>0</v>
      </c>
      <c r="I20" s="3">
        <f t="shared" si="5"/>
        <v>0</v>
      </c>
      <c r="J20" s="3">
        <f t="shared" si="5"/>
        <v>0</v>
      </c>
      <c r="K20" s="3">
        <f t="shared" si="5"/>
        <v>0</v>
      </c>
      <c r="L20" s="3">
        <f t="shared" si="5"/>
        <v>0</v>
      </c>
      <c r="M20" s="3">
        <f t="shared" si="5"/>
        <v>0</v>
      </c>
      <c r="N20" s="3">
        <f t="shared" si="5"/>
        <v>0</v>
      </c>
      <c r="O20" s="3">
        <f t="shared" si="5"/>
        <v>0</v>
      </c>
      <c r="P20" s="3">
        <f t="shared" si="5"/>
        <v>0</v>
      </c>
      <c r="Q20" s="3">
        <f t="shared" si="5"/>
        <v>0</v>
      </c>
      <c r="R20" s="3">
        <f t="shared" si="5"/>
        <v>0</v>
      </c>
      <c r="S20" s="3">
        <f t="shared" si="1"/>
        <v>0</v>
      </c>
      <c r="T20" s="3">
        <f>T$338</f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8"/>
      <c r="LZ20" s="2">
        <v>0.20419753086419801</v>
      </c>
      <c r="MA20" s="1">
        <f t="shared" si="2"/>
        <v>0</v>
      </c>
      <c r="MB20" s="1">
        <v>0</v>
      </c>
      <c r="MC20" s="2">
        <v>0.20419752999999999</v>
      </c>
      <c r="MD20" s="1">
        <f t="shared" si="3"/>
        <v>0.20419752999999999</v>
      </c>
      <c r="ME20" s="1">
        <f t="shared" si="4"/>
        <v>0.20419752999999999</v>
      </c>
    </row>
    <row r="21" spans="1:343" x14ac:dyDescent="0.2">
      <c r="A21" s="2">
        <v>9.5</v>
      </c>
      <c r="B21" s="7"/>
      <c r="C21" s="3"/>
      <c r="D21" s="3"/>
      <c r="E21" s="3"/>
      <c r="F21" s="3">
        <f t="shared" si="5"/>
        <v>0</v>
      </c>
      <c r="G21" s="3">
        <f t="shared" si="5"/>
        <v>0</v>
      </c>
      <c r="H21" s="3">
        <f t="shared" si="5"/>
        <v>0</v>
      </c>
      <c r="I21" s="3">
        <f t="shared" si="5"/>
        <v>0</v>
      </c>
      <c r="J21" s="3">
        <f t="shared" si="5"/>
        <v>0</v>
      </c>
      <c r="K21" s="3">
        <f t="shared" si="5"/>
        <v>0</v>
      </c>
      <c r="L21" s="3">
        <f t="shared" si="5"/>
        <v>0</v>
      </c>
      <c r="M21" s="3">
        <f t="shared" si="5"/>
        <v>0</v>
      </c>
      <c r="N21" s="3">
        <f t="shared" si="5"/>
        <v>0</v>
      </c>
      <c r="O21" s="3">
        <f t="shared" si="5"/>
        <v>0</v>
      </c>
      <c r="P21" s="3">
        <f t="shared" si="5"/>
        <v>0</v>
      </c>
      <c r="Q21" s="3">
        <f t="shared" si="5"/>
        <v>0</v>
      </c>
      <c r="R21" s="3">
        <f t="shared" si="5"/>
        <v>0</v>
      </c>
      <c r="S21" s="3">
        <f t="shared" si="5"/>
        <v>0</v>
      </c>
      <c r="T21" s="3">
        <f t="shared" si="1"/>
        <v>0</v>
      </c>
      <c r="U21" s="3">
        <f>U$338</f>
        <v>0</v>
      </c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8"/>
      <c r="LZ21" s="2">
        <v>0.20419753086419801</v>
      </c>
      <c r="MA21" s="1">
        <f t="shared" si="2"/>
        <v>0</v>
      </c>
      <c r="MB21" s="1">
        <v>0</v>
      </c>
      <c r="MC21" s="2">
        <v>0.20419752999999999</v>
      </c>
      <c r="MD21" s="1">
        <f t="shared" si="3"/>
        <v>0.20419752999999999</v>
      </c>
      <c r="ME21" s="1">
        <f t="shared" si="4"/>
        <v>0.20419752999999999</v>
      </c>
    </row>
    <row r="22" spans="1:343" x14ac:dyDescent="0.2">
      <c r="A22" s="2">
        <v>10</v>
      </c>
      <c r="B22" s="7"/>
      <c r="C22" s="3"/>
      <c r="D22" s="3"/>
      <c r="E22" s="3"/>
      <c r="F22" s="3"/>
      <c r="G22" s="3">
        <f t="shared" si="5"/>
        <v>0</v>
      </c>
      <c r="H22" s="3">
        <f t="shared" si="5"/>
        <v>0</v>
      </c>
      <c r="I22" s="3">
        <f t="shared" si="5"/>
        <v>0</v>
      </c>
      <c r="J22" s="3">
        <f t="shared" si="5"/>
        <v>0</v>
      </c>
      <c r="K22" s="3">
        <f t="shared" si="5"/>
        <v>0</v>
      </c>
      <c r="L22" s="3">
        <f t="shared" si="5"/>
        <v>0</v>
      </c>
      <c r="M22" s="3">
        <f t="shared" si="5"/>
        <v>0</v>
      </c>
      <c r="N22" s="3">
        <f t="shared" si="5"/>
        <v>0</v>
      </c>
      <c r="O22" s="3">
        <f t="shared" si="5"/>
        <v>0</v>
      </c>
      <c r="P22" s="3">
        <f t="shared" si="5"/>
        <v>0</v>
      </c>
      <c r="Q22" s="3">
        <f t="shared" si="5"/>
        <v>0</v>
      </c>
      <c r="R22" s="3">
        <f t="shared" si="5"/>
        <v>0</v>
      </c>
      <c r="S22" s="3">
        <f t="shared" si="5"/>
        <v>0</v>
      </c>
      <c r="T22" s="3">
        <f t="shared" ref="T22:AI37" si="6">T$338</f>
        <v>0</v>
      </c>
      <c r="U22" s="3">
        <f t="shared" si="1"/>
        <v>0</v>
      </c>
      <c r="V22" s="3">
        <f>V$338</f>
        <v>0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8"/>
      <c r="LZ22" s="2">
        <v>0.29111111111111099</v>
      </c>
      <c r="MA22" s="1">
        <f t="shared" si="2"/>
        <v>0</v>
      </c>
      <c r="MB22" s="1">
        <v>0</v>
      </c>
      <c r="MC22" s="2">
        <v>0.29111111000000001</v>
      </c>
      <c r="MD22" s="1">
        <f t="shared" si="3"/>
        <v>0.29111111000000001</v>
      </c>
      <c r="ME22" s="1">
        <f t="shared" si="4"/>
        <v>0.29111111000000001</v>
      </c>
    </row>
    <row r="23" spans="1:343" x14ac:dyDescent="0.2">
      <c r="A23" s="2">
        <v>10.5</v>
      </c>
      <c r="B23" s="7"/>
      <c r="C23" s="3"/>
      <c r="D23" s="3"/>
      <c r="E23" s="3"/>
      <c r="F23" s="3"/>
      <c r="G23" s="3"/>
      <c r="H23" s="3">
        <f t="shared" si="5"/>
        <v>0</v>
      </c>
      <c r="I23" s="3">
        <f t="shared" si="5"/>
        <v>0</v>
      </c>
      <c r="J23" s="3">
        <f t="shared" si="5"/>
        <v>0</v>
      </c>
      <c r="K23" s="3">
        <f t="shared" si="5"/>
        <v>0</v>
      </c>
      <c r="L23" s="3">
        <f t="shared" si="5"/>
        <v>0</v>
      </c>
      <c r="M23" s="3">
        <f t="shared" si="5"/>
        <v>0</v>
      </c>
      <c r="N23" s="3">
        <f t="shared" si="5"/>
        <v>0</v>
      </c>
      <c r="O23" s="3">
        <f t="shared" si="5"/>
        <v>0</v>
      </c>
      <c r="P23" s="3">
        <f t="shared" si="5"/>
        <v>0</v>
      </c>
      <c r="Q23" s="3">
        <f t="shared" si="5"/>
        <v>0</v>
      </c>
      <c r="R23" s="3">
        <f t="shared" si="5"/>
        <v>0</v>
      </c>
      <c r="S23" s="3">
        <f t="shared" si="5"/>
        <v>0</v>
      </c>
      <c r="T23" s="3">
        <f t="shared" si="6"/>
        <v>0</v>
      </c>
      <c r="U23" s="3">
        <f t="shared" si="6"/>
        <v>0</v>
      </c>
      <c r="V23" s="3">
        <f t="shared" si="1"/>
        <v>0</v>
      </c>
      <c r="W23" s="3">
        <f>W$338</f>
        <v>0</v>
      </c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8"/>
      <c r="LZ23" s="2">
        <v>0.29111111111111099</v>
      </c>
      <c r="MA23" s="1">
        <f t="shared" si="2"/>
        <v>0</v>
      </c>
      <c r="MB23" s="1">
        <v>0</v>
      </c>
      <c r="MC23" s="2">
        <v>0.29111111000000001</v>
      </c>
      <c r="MD23" s="1">
        <f t="shared" si="3"/>
        <v>0.29111111000000001</v>
      </c>
      <c r="ME23" s="1">
        <f t="shared" si="4"/>
        <v>0.29111111000000001</v>
      </c>
    </row>
    <row r="24" spans="1:343" x14ac:dyDescent="0.2">
      <c r="A24" s="2">
        <v>11</v>
      </c>
      <c r="B24" s="7"/>
      <c r="C24" s="3"/>
      <c r="D24" s="3"/>
      <c r="E24" s="3"/>
      <c r="F24" s="3"/>
      <c r="G24" s="3"/>
      <c r="H24" s="3"/>
      <c r="I24" s="3">
        <f t="shared" si="5"/>
        <v>0</v>
      </c>
      <c r="J24" s="3">
        <f t="shared" si="5"/>
        <v>0</v>
      </c>
      <c r="K24" s="3">
        <f t="shared" si="5"/>
        <v>0</v>
      </c>
      <c r="L24" s="3">
        <f t="shared" si="5"/>
        <v>0</v>
      </c>
      <c r="M24" s="3">
        <f t="shared" si="5"/>
        <v>0</v>
      </c>
      <c r="N24" s="3">
        <f t="shared" si="5"/>
        <v>0</v>
      </c>
      <c r="O24" s="3">
        <f t="shared" si="5"/>
        <v>0</v>
      </c>
      <c r="P24" s="3">
        <f t="shared" si="5"/>
        <v>0</v>
      </c>
      <c r="Q24" s="3">
        <f t="shared" si="5"/>
        <v>0</v>
      </c>
      <c r="R24" s="3">
        <f t="shared" si="5"/>
        <v>0</v>
      </c>
      <c r="S24" s="3">
        <f t="shared" si="5"/>
        <v>0</v>
      </c>
      <c r="T24" s="3">
        <f t="shared" si="6"/>
        <v>0</v>
      </c>
      <c r="U24" s="3">
        <f t="shared" si="6"/>
        <v>0</v>
      </c>
      <c r="V24" s="3">
        <f t="shared" si="6"/>
        <v>0</v>
      </c>
      <c r="W24" s="3">
        <f t="shared" si="1"/>
        <v>0</v>
      </c>
      <c r="X24" s="3">
        <f>X$338</f>
        <v>0</v>
      </c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8"/>
      <c r="LZ24" s="2">
        <v>0.39813051146384498</v>
      </c>
      <c r="MA24" s="1">
        <f t="shared" si="2"/>
        <v>0</v>
      </c>
      <c r="MB24" s="1">
        <v>0</v>
      </c>
      <c r="MC24" s="2">
        <v>0.39813050999999999</v>
      </c>
      <c r="MD24" s="1">
        <f t="shared" si="3"/>
        <v>0.39813050999999999</v>
      </c>
      <c r="ME24" s="1">
        <f t="shared" si="4"/>
        <v>0.39813050999999999</v>
      </c>
    </row>
    <row r="25" spans="1:343" x14ac:dyDescent="0.2">
      <c r="A25" s="2">
        <v>11.5</v>
      </c>
      <c r="B25" s="7"/>
      <c r="C25" s="3"/>
      <c r="D25" s="3"/>
      <c r="E25" s="3"/>
      <c r="F25" s="3"/>
      <c r="G25" s="3"/>
      <c r="H25" s="3"/>
      <c r="I25" s="3"/>
      <c r="J25" s="3">
        <f t="shared" si="5"/>
        <v>0</v>
      </c>
      <c r="K25" s="3">
        <f t="shared" si="5"/>
        <v>0</v>
      </c>
      <c r="L25" s="3">
        <f t="shared" si="5"/>
        <v>0</v>
      </c>
      <c r="M25" s="3">
        <f t="shared" si="5"/>
        <v>0</v>
      </c>
      <c r="N25" s="3">
        <f t="shared" si="5"/>
        <v>0</v>
      </c>
      <c r="O25" s="3">
        <f t="shared" si="5"/>
        <v>0</v>
      </c>
      <c r="P25" s="3">
        <f t="shared" si="5"/>
        <v>0</v>
      </c>
      <c r="Q25" s="3">
        <f t="shared" si="5"/>
        <v>0</v>
      </c>
      <c r="R25" s="3">
        <f t="shared" si="5"/>
        <v>0</v>
      </c>
      <c r="S25" s="3">
        <f t="shared" si="5"/>
        <v>0</v>
      </c>
      <c r="T25" s="3">
        <f t="shared" si="6"/>
        <v>0</v>
      </c>
      <c r="U25" s="3">
        <f t="shared" si="6"/>
        <v>0</v>
      </c>
      <c r="V25" s="3">
        <f t="shared" si="6"/>
        <v>0</v>
      </c>
      <c r="W25" s="3">
        <f t="shared" si="6"/>
        <v>0</v>
      </c>
      <c r="X25" s="3">
        <f t="shared" si="1"/>
        <v>0</v>
      </c>
      <c r="Y25" s="3">
        <f>Y$338</f>
        <v>0</v>
      </c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8"/>
      <c r="LZ25" s="2">
        <v>0.39813051146384498</v>
      </c>
      <c r="MA25" s="1">
        <f t="shared" si="2"/>
        <v>0</v>
      </c>
      <c r="MB25" s="1">
        <v>0</v>
      </c>
      <c r="MC25" s="2">
        <v>0.39813050999999999</v>
      </c>
      <c r="MD25" s="1">
        <f t="shared" si="3"/>
        <v>0.39813050999999999</v>
      </c>
      <c r="ME25" s="1">
        <f t="shared" si="4"/>
        <v>0.39813050999999999</v>
      </c>
    </row>
    <row r="26" spans="1:343" x14ac:dyDescent="0.2">
      <c r="A26" s="2">
        <v>12</v>
      </c>
      <c r="B26" s="7"/>
      <c r="C26" s="3"/>
      <c r="D26" s="3"/>
      <c r="E26" s="3"/>
      <c r="F26" s="3"/>
      <c r="G26" s="3"/>
      <c r="H26" s="3"/>
      <c r="I26" s="3"/>
      <c r="J26" s="3"/>
      <c r="K26" s="3">
        <f t="shared" si="5"/>
        <v>0</v>
      </c>
      <c r="L26" s="3">
        <f t="shared" si="5"/>
        <v>0</v>
      </c>
      <c r="M26" s="3">
        <f t="shared" si="5"/>
        <v>0</v>
      </c>
      <c r="N26" s="3">
        <f t="shared" si="5"/>
        <v>0</v>
      </c>
      <c r="O26" s="3">
        <f t="shared" si="5"/>
        <v>0</v>
      </c>
      <c r="P26" s="3">
        <f t="shared" si="5"/>
        <v>0</v>
      </c>
      <c r="Q26" s="3">
        <f t="shared" si="5"/>
        <v>0</v>
      </c>
      <c r="R26" s="3">
        <f t="shared" si="5"/>
        <v>0</v>
      </c>
      <c r="S26" s="3">
        <f t="shared" si="5"/>
        <v>0</v>
      </c>
      <c r="T26" s="3">
        <f t="shared" si="6"/>
        <v>0</v>
      </c>
      <c r="U26" s="3">
        <f t="shared" si="6"/>
        <v>0</v>
      </c>
      <c r="V26" s="3">
        <f t="shared" si="6"/>
        <v>0</v>
      </c>
      <c r="W26" s="3">
        <f t="shared" si="6"/>
        <v>0</v>
      </c>
      <c r="X26" s="3">
        <f t="shared" si="6"/>
        <v>0</v>
      </c>
      <c r="Y26" s="3">
        <f t="shared" si="1"/>
        <v>0</v>
      </c>
      <c r="Z26" s="3">
        <f>Z$338</f>
        <v>0</v>
      </c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8"/>
      <c r="LZ26" s="2">
        <v>0.46158730158730199</v>
      </c>
      <c r="MA26" s="1">
        <f t="shared" si="2"/>
        <v>0</v>
      </c>
      <c r="MB26" s="1">
        <v>0</v>
      </c>
      <c r="MC26" s="2">
        <v>0.46158729999999998</v>
      </c>
      <c r="MD26" s="1">
        <f t="shared" si="3"/>
        <v>0.46158729999999998</v>
      </c>
      <c r="ME26" s="1">
        <f t="shared" si="4"/>
        <v>0.46158729999999998</v>
      </c>
    </row>
    <row r="27" spans="1:343" x14ac:dyDescent="0.2">
      <c r="A27" s="2">
        <v>12.5</v>
      </c>
      <c r="B27" s="7"/>
      <c r="C27" s="3"/>
      <c r="D27" s="3"/>
      <c r="E27" s="3"/>
      <c r="F27" s="3"/>
      <c r="G27" s="3"/>
      <c r="H27" s="3"/>
      <c r="I27" s="3"/>
      <c r="J27" s="3"/>
      <c r="K27" s="3"/>
      <c r="L27" s="3">
        <f t="shared" si="5"/>
        <v>0</v>
      </c>
      <c r="M27" s="3">
        <f t="shared" si="5"/>
        <v>0</v>
      </c>
      <c r="N27" s="3">
        <f t="shared" si="5"/>
        <v>0</v>
      </c>
      <c r="O27" s="3">
        <f t="shared" si="5"/>
        <v>0</v>
      </c>
      <c r="P27" s="3">
        <f t="shared" si="5"/>
        <v>0</v>
      </c>
      <c r="Q27" s="3">
        <f t="shared" si="5"/>
        <v>0</v>
      </c>
      <c r="R27" s="3">
        <f t="shared" si="5"/>
        <v>0</v>
      </c>
      <c r="S27" s="3">
        <f t="shared" si="5"/>
        <v>0</v>
      </c>
      <c r="T27" s="3">
        <f t="shared" si="6"/>
        <v>0</v>
      </c>
      <c r="U27" s="3">
        <f t="shared" si="6"/>
        <v>0</v>
      </c>
      <c r="V27" s="3">
        <f t="shared" si="6"/>
        <v>0</v>
      </c>
      <c r="W27" s="3">
        <f t="shared" si="6"/>
        <v>0</v>
      </c>
      <c r="X27" s="3">
        <f t="shared" si="6"/>
        <v>0</v>
      </c>
      <c r="Y27" s="3">
        <f t="shared" si="6"/>
        <v>0</v>
      </c>
      <c r="Z27" s="3">
        <f t="shared" si="1"/>
        <v>0</v>
      </c>
      <c r="AA27" s="3">
        <f>AA$338</f>
        <v>0</v>
      </c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8"/>
      <c r="LZ27" s="2">
        <v>0.46158730158730199</v>
      </c>
      <c r="MA27" s="1">
        <f t="shared" si="2"/>
        <v>0</v>
      </c>
      <c r="MB27" s="1">
        <v>0</v>
      </c>
      <c r="MC27" s="2">
        <v>0.46158729999999998</v>
      </c>
      <c r="MD27" s="1">
        <f t="shared" si="3"/>
        <v>0.46158729999999998</v>
      </c>
      <c r="ME27" s="1">
        <f t="shared" si="4"/>
        <v>0.46158729999999998</v>
      </c>
    </row>
    <row r="28" spans="1:343" x14ac:dyDescent="0.2">
      <c r="A28" s="2">
        <v>13</v>
      </c>
      <c r="B28" s="7"/>
      <c r="C28" s="3"/>
      <c r="D28" s="3"/>
      <c r="E28" s="3"/>
      <c r="F28" s="3"/>
      <c r="G28" s="3"/>
      <c r="H28" s="3"/>
      <c r="I28" s="3"/>
      <c r="J28" s="3"/>
      <c r="K28" s="3"/>
      <c r="L28" s="3"/>
      <c r="M28" s="3">
        <f t="shared" si="5"/>
        <v>0</v>
      </c>
      <c r="N28" s="3">
        <f t="shared" si="5"/>
        <v>0</v>
      </c>
      <c r="O28" s="3">
        <f t="shared" si="5"/>
        <v>0</v>
      </c>
      <c r="P28" s="3">
        <f t="shared" si="5"/>
        <v>0</v>
      </c>
      <c r="Q28" s="3">
        <f t="shared" si="5"/>
        <v>0</v>
      </c>
      <c r="R28" s="3">
        <f t="shared" si="5"/>
        <v>0</v>
      </c>
      <c r="S28" s="3">
        <f t="shared" si="5"/>
        <v>0</v>
      </c>
      <c r="T28" s="3">
        <f t="shared" si="6"/>
        <v>0</v>
      </c>
      <c r="U28" s="3">
        <f t="shared" si="6"/>
        <v>0</v>
      </c>
      <c r="V28" s="3">
        <f t="shared" si="6"/>
        <v>0</v>
      </c>
      <c r="W28" s="3">
        <f t="shared" si="6"/>
        <v>0</v>
      </c>
      <c r="X28" s="3">
        <f t="shared" si="6"/>
        <v>0</v>
      </c>
      <c r="Y28" s="3">
        <f t="shared" si="6"/>
        <v>0</v>
      </c>
      <c r="Z28" s="3">
        <f t="shared" si="6"/>
        <v>0</v>
      </c>
      <c r="AA28" s="3">
        <f t="shared" si="1"/>
        <v>0</v>
      </c>
      <c r="AB28" s="3">
        <f>AB$338</f>
        <v>0</v>
      </c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8"/>
      <c r="LZ28" s="2">
        <v>0.51523809523809505</v>
      </c>
      <c r="MA28" s="1">
        <f t="shared" si="2"/>
        <v>0</v>
      </c>
      <c r="MB28" s="1">
        <v>0</v>
      </c>
      <c r="MC28" s="2">
        <v>0.51523810000000003</v>
      </c>
      <c r="MD28" s="1">
        <f t="shared" si="3"/>
        <v>0.51523810000000003</v>
      </c>
      <c r="ME28" s="1">
        <f t="shared" si="4"/>
        <v>0.51523810000000003</v>
      </c>
    </row>
    <row r="29" spans="1:343" x14ac:dyDescent="0.2">
      <c r="A29" s="2">
        <v>13.5</v>
      </c>
      <c r="B29" s="7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>
        <f t="shared" si="5"/>
        <v>0</v>
      </c>
      <c r="O29" s="3">
        <f t="shared" si="5"/>
        <v>0</v>
      </c>
      <c r="P29" s="3">
        <f t="shared" si="5"/>
        <v>0</v>
      </c>
      <c r="Q29" s="3">
        <f t="shared" si="5"/>
        <v>0</v>
      </c>
      <c r="R29" s="3">
        <f t="shared" si="5"/>
        <v>0</v>
      </c>
      <c r="S29" s="3">
        <f t="shared" si="5"/>
        <v>0</v>
      </c>
      <c r="T29" s="3">
        <f t="shared" si="6"/>
        <v>0</v>
      </c>
      <c r="U29" s="3">
        <f t="shared" si="6"/>
        <v>0</v>
      </c>
      <c r="V29" s="3">
        <f t="shared" si="6"/>
        <v>0</v>
      </c>
      <c r="W29" s="3">
        <f t="shared" si="6"/>
        <v>0</v>
      </c>
      <c r="X29" s="3">
        <f t="shared" si="6"/>
        <v>0</v>
      </c>
      <c r="Y29" s="3">
        <f t="shared" si="6"/>
        <v>0</v>
      </c>
      <c r="Z29" s="3">
        <f t="shared" si="6"/>
        <v>0</v>
      </c>
      <c r="AA29" s="3">
        <f t="shared" si="6"/>
        <v>0</v>
      </c>
      <c r="AB29" s="3">
        <f t="shared" si="1"/>
        <v>0</v>
      </c>
      <c r="AC29" s="3">
        <f>AC$338</f>
        <v>0</v>
      </c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8"/>
      <c r="LZ29" s="2">
        <v>0.51523809523809505</v>
      </c>
      <c r="MA29" s="1">
        <f t="shared" si="2"/>
        <v>0</v>
      </c>
      <c r="MB29" s="1">
        <v>0</v>
      </c>
      <c r="MC29" s="2">
        <v>0.51523810000000003</v>
      </c>
      <c r="MD29" s="1">
        <f t="shared" si="3"/>
        <v>0.51523810000000003</v>
      </c>
      <c r="ME29" s="1">
        <f t="shared" si="4"/>
        <v>0.51523810000000003</v>
      </c>
    </row>
    <row r="30" spans="1:343" x14ac:dyDescent="0.2">
      <c r="A30" s="2">
        <v>14</v>
      </c>
      <c r="B30" s="7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>
        <f t="shared" si="5"/>
        <v>0</v>
      </c>
      <c r="P30" s="3">
        <f t="shared" si="5"/>
        <v>0</v>
      </c>
      <c r="Q30" s="3">
        <f t="shared" si="5"/>
        <v>0</v>
      </c>
      <c r="R30" s="3">
        <f t="shared" si="5"/>
        <v>0</v>
      </c>
      <c r="S30" s="3">
        <f t="shared" si="5"/>
        <v>0</v>
      </c>
      <c r="T30" s="3">
        <f t="shared" si="6"/>
        <v>0</v>
      </c>
      <c r="U30" s="3">
        <f t="shared" si="6"/>
        <v>0</v>
      </c>
      <c r="V30" s="3">
        <f t="shared" si="6"/>
        <v>0</v>
      </c>
      <c r="W30" s="3">
        <f t="shared" si="6"/>
        <v>0</v>
      </c>
      <c r="X30" s="3">
        <f t="shared" si="6"/>
        <v>0</v>
      </c>
      <c r="Y30" s="3">
        <f t="shared" si="6"/>
        <v>0</v>
      </c>
      <c r="Z30" s="3">
        <f t="shared" si="6"/>
        <v>0</v>
      </c>
      <c r="AA30" s="3">
        <f t="shared" si="6"/>
        <v>0</v>
      </c>
      <c r="AB30" s="3">
        <f t="shared" si="6"/>
        <v>0</v>
      </c>
      <c r="AC30" s="3">
        <f t="shared" si="1"/>
        <v>0</v>
      </c>
      <c r="AD30" s="3">
        <f>AD$338</f>
        <v>0</v>
      </c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8"/>
      <c r="LZ30" s="2">
        <v>0.571957671957672</v>
      </c>
      <c r="MA30" s="1">
        <f t="shared" si="2"/>
        <v>0</v>
      </c>
      <c r="MB30" s="1">
        <v>0</v>
      </c>
      <c r="MC30" s="2">
        <v>0.57195766999999997</v>
      </c>
      <c r="MD30" s="1">
        <f t="shared" si="3"/>
        <v>0.57195766999999997</v>
      </c>
      <c r="ME30" s="1">
        <f t="shared" si="4"/>
        <v>0.57195766999999997</v>
      </c>
    </row>
    <row r="31" spans="1:343" x14ac:dyDescent="0.2">
      <c r="A31" s="2">
        <v>14.5</v>
      </c>
      <c r="B31" s="7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>
        <f t="shared" si="5"/>
        <v>0</v>
      </c>
      <c r="Q31" s="3">
        <f t="shared" si="5"/>
        <v>0</v>
      </c>
      <c r="R31" s="3">
        <f t="shared" si="5"/>
        <v>0</v>
      </c>
      <c r="S31" s="3">
        <f t="shared" si="5"/>
        <v>0</v>
      </c>
      <c r="T31" s="3">
        <f t="shared" si="5"/>
        <v>0</v>
      </c>
      <c r="U31" s="3">
        <f t="shared" si="6"/>
        <v>0</v>
      </c>
      <c r="V31" s="3">
        <f t="shared" si="6"/>
        <v>0</v>
      </c>
      <c r="W31" s="3">
        <f t="shared" si="6"/>
        <v>0</v>
      </c>
      <c r="X31" s="3">
        <f t="shared" si="6"/>
        <v>0</v>
      </c>
      <c r="Y31" s="3">
        <f t="shared" si="6"/>
        <v>0</v>
      </c>
      <c r="Z31" s="3">
        <f t="shared" si="6"/>
        <v>0</v>
      </c>
      <c r="AA31" s="3">
        <f t="shared" si="6"/>
        <v>0</v>
      </c>
      <c r="AB31" s="3">
        <f t="shared" si="6"/>
        <v>0</v>
      </c>
      <c r="AC31" s="3">
        <f t="shared" si="6"/>
        <v>0</v>
      </c>
      <c r="AD31" s="3">
        <f t="shared" si="1"/>
        <v>0</v>
      </c>
      <c r="AE31" s="3">
        <f>AE$338</f>
        <v>0</v>
      </c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8"/>
      <c r="LZ31" s="2">
        <v>0.571957671957672</v>
      </c>
      <c r="MA31" s="1">
        <f t="shared" si="2"/>
        <v>0</v>
      </c>
      <c r="MB31" s="1">
        <v>0</v>
      </c>
      <c r="MC31" s="2">
        <v>0.57195766999999997</v>
      </c>
      <c r="MD31" s="1">
        <f t="shared" si="3"/>
        <v>0.57195766999999997</v>
      </c>
      <c r="ME31" s="1">
        <f t="shared" si="4"/>
        <v>0.57195766999999997</v>
      </c>
    </row>
    <row r="32" spans="1:343" x14ac:dyDescent="0.2">
      <c r="A32" s="2">
        <v>15</v>
      </c>
      <c r="B32" s="7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>
        <f t="shared" si="5"/>
        <v>0</v>
      </c>
      <c r="R32" s="3">
        <f t="shared" si="5"/>
        <v>0</v>
      </c>
      <c r="S32" s="3">
        <f t="shared" si="5"/>
        <v>0</v>
      </c>
      <c r="T32" s="3">
        <f t="shared" si="5"/>
        <v>0</v>
      </c>
      <c r="U32" s="3">
        <f t="shared" si="5"/>
        <v>0</v>
      </c>
      <c r="V32" s="3">
        <f t="shared" si="6"/>
        <v>0</v>
      </c>
      <c r="W32" s="3">
        <f t="shared" si="6"/>
        <v>0</v>
      </c>
      <c r="X32" s="3">
        <f t="shared" si="6"/>
        <v>0</v>
      </c>
      <c r="Y32" s="3">
        <f t="shared" si="6"/>
        <v>0</v>
      </c>
      <c r="Z32" s="3">
        <f t="shared" si="6"/>
        <v>0</v>
      </c>
      <c r="AA32" s="3">
        <f t="shared" si="6"/>
        <v>0</v>
      </c>
      <c r="AB32" s="3">
        <f t="shared" si="6"/>
        <v>0</v>
      </c>
      <c r="AC32" s="3">
        <f t="shared" si="6"/>
        <v>0</v>
      </c>
      <c r="AD32" s="3">
        <f t="shared" si="6"/>
        <v>0</v>
      </c>
      <c r="AE32" s="3">
        <f t="shared" si="1"/>
        <v>0</v>
      </c>
      <c r="AF32" s="3">
        <f>AF$338</f>
        <v>1</v>
      </c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8"/>
      <c r="LZ32" s="2">
        <v>0.59067019400352705</v>
      </c>
      <c r="MA32" s="1">
        <f t="shared" si="2"/>
        <v>1</v>
      </c>
      <c r="MB32" s="1">
        <v>0.40932981000000002</v>
      </c>
      <c r="MC32" s="2">
        <v>0</v>
      </c>
      <c r="MD32" s="1">
        <f t="shared" si="3"/>
        <v>0.59067018999999998</v>
      </c>
      <c r="ME32" s="1">
        <f t="shared" si="4"/>
        <v>0.40932981000000002</v>
      </c>
    </row>
    <row r="33" spans="1:368" x14ac:dyDescent="0.2">
      <c r="A33" s="2">
        <v>15.5</v>
      </c>
      <c r="B33" s="7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>
        <f t="shared" si="5"/>
        <v>0</v>
      </c>
      <c r="S33" s="3">
        <f t="shared" si="5"/>
        <v>0</v>
      </c>
      <c r="T33" s="3">
        <f t="shared" si="5"/>
        <v>0</v>
      </c>
      <c r="U33" s="3">
        <f t="shared" si="5"/>
        <v>0</v>
      </c>
      <c r="V33" s="3">
        <f t="shared" si="5"/>
        <v>0</v>
      </c>
      <c r="W33" s="3">
        <f t="shared" si="6"/>
        <v>0</v>
      </c>
      <c r="X33" s="3">
        <f t="shared" si="6"/>
        <v>0</v>
      </c>
      <c r="Y33" s="3">
        <f t="shared" si="6"/>
        <v>0</v>
      </c>
      <c r="Z33" s="3">
        <f t="shared" si="6"/>
        <v>0</v>
      </c>
      <c r="AA33" s="3">
        <f t="shared" si="6"/>
        <v>0</v>
      </c>
      <c r="AB33" s="3">
        <f t="shared" si="6"/>
        <v>0</v>
      </c>
      <c r="AC33" s="3">
        <f t="shared" si="6"/>
        <v>0</v>
      </c>
      <c r="AD33" s="3">
        <f t="shared" si="6"/>
        <v>0</v>
      </c>
      <c r="AE33" s="3">
        <f t="shared" si="6"/>
        <v>0</v>
      </c>
      <c r="AF33" s="3">
        <f t="shared" si="1"/>
        <v>1</v>
      </c>
      <c r="AG33" s="3">
        <f>AG$338</f>
        <v>0</v>
      </c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8"/>
      <c r="LZ33" s="2">
        <v>0.59067019400352705</v>
      </c>
      <c r="MA33" s="1">
        <f t="shared" si="2"/>
        <v>1</v>
      </c>
      <c r="MB33" s="1">
        <v>0.40932981000000002</v>
      </c>
      <c r="MC33" s="2">
        <v>0</v>
      </c>
      <c r="MD33" s="1">
        <f t="shared" si="3"/>
        <v>0.59067018999999998</v>
      </c>
      <c r="ME33" s="1">
        <f t="shared" si="4"/>
        <v>0.40932981000000002</v>
      </c>
    </row>
    <row r="34" spans="1:368" x14ac:dyDescent="0.2">
      <c r="A34" s="2">
        <v>16</v>
      </c>
      <c r="B34" s="7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>
        <f t="shared" si="5"/>
        <v>0</v>
      </c>
      <c r="T34" s="3">
        <f t="shared" si="5"/>
        <v>0</v>
      </c>
      <c r="U34" s="3">
        <f t="shared" si="5"/>
        <v>0</v>
      </c>
      <c r="V34" s="3">
        <f t="shared" si="5"/>
        <v>0</v>
      </c>
      <c r="W34" s="3">
        <f t="shared" si="5"/>
        <v>0</v>
      </c>
      <c r="X34" s="3">
        <f t="shared" si="6"/>
        <v>0</v>
      </c>
      <c r="Y34" s="3">
        <f t="shared" si="6"/>
        <v>0</v>
      </c>
      <c r="Z34" s="3">
        <f t="shared" si="6"/>
        <v>0</v>
      </c>
      <c r="AA34" s="3">
        <f t="shared" si="6"/>
        <v>0</v>
      </c>
      <c r="AB34" s="3">
        <f t="shared" si="6"/>
        <v>0</v>
      </c>
      <c r="AC34" s="3">
        <f t="shared" si="6"/>
        <v>0</v>
      </c>
      <c r="AD34" s="3">
        <f t="shared" si="6"/>
        <v>0</v>
      </c>
      <c r="AE34" s="3">
        <f t="shared" si="6"/>
        <v>0</v>
      </c>
      <c r="AF34" s="3">
        <f t="shared" si="6"/>
        <v>1</v>
      </c>
      <c r="AG34" s="3">
        <f t="shared" si="1"/>
        <v>0</v>
      </c>
      <c r="AH34" s="3">
        <f>AH$338</f>
        <v>0</v>
      </c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8"/>
      <c r="LZ34" s="2">
        <v>0.61377425044091705</v>
      </c>
      <c r="MA34" s="1">
        <f t="shared" si="2"/>
        <v>1</v>
      </c>
      <c r="MB34" s="1">
        <v>0.38622574999999998</v>
      </c>
      <c r="MC34" s="2">
        <v>0</v>
      </c>
      <c r="MD34" s="1">
        <f t="shared" si="3"/>
        <v>0.61377425000000008</v>
      </c>
      <c r="ME34" s="1">
        <f t="shared" si="4"/>
        <v>0.38622574999999998</v>
      </c>
    </row>
    <row r="35" spans="1:368" x14ac:dyDescent="0.2">
      <c r="A35" s="2">
        <v>16.5</v>
      </c>
      <c r="B35" s="7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>
        <f t="shared" ref="T35:AG48" si="7">T$338</f>
        <v>0</v>
      </c>
      <c r="U35" s="3">
        <f t="shared" si="7"/>
        <v>0</v>
      </c>
      <c r="V35" s="3">
        <f t="shared" si="7"/>
        <v>0</v>
      </c>
      <c r="W35" s="3">
        <f t="shared" si="7"/>
        <v>0</v>
      </c>
      <c r="X35" s="3">
        <f t="shared" si="5"/>
        <v>0</v>
      </c>
      <c r="Y35" s="3">
        <f t="shared" si="6"/>
        <v>0</v>
      </c>
      <c r="Z35" s="3">
        <f t="shared" si="6"/>
        <v>0</v>
      </c>
      <c r="AA35" s="3">
        <f t="shared" si="6"/>
        <v>0</v>
      </c>
      <c r="AB35" s="3">
        <f t="shared" si="6"/>
        <v>0</v>
      </c>
      <c r="AC35" s="3">
        <f t="shared" si="6"/>
        <v>0</v>
      </c>
      <c r="AD35" s="3">
        <f t="shared" si="6"/>
        <v>0</v>
      </c>
      <c r="AE35" s="3">
        <f t="shared" si="6"/>
        <v>0</v>
      </c>
      <c r="AF35" s="3">
        <f t="shared" si="6"/>
        <v>1</v>
      </c>
      <c r="AG35" s="3">
        <f t="shared" si="6"/>
        <v>0</v>
      </c>
      <c r="AH35" s="3">
        <f t="shared" si="1"/>
        <v>0</v>
      </c>
      <c r="AI35" s="3">
        <f>AI$338</f>
        <v>0</v>
      </c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8"/>
      <c r="LZ35" s="2">
        <v>0.61377425044091705</v>
      </c>
      <c r="MA35" s="1">
        <f t="shared" si="2"/>
        <v>1</v>
      </c>
      <c r="MB35" s="1">
        <v>0.38622574999999998</v>
      </c>
      <c r="MC35" s="2">
        <v>0</v>
      </c>
      <c r="MD35" s="1">
        <f t="shared" si="3"/>
        <v>0.61377425000000008</v>
      </c>
      <c r="ME35" s="1">
        <f t="shared" si="4"/>
        <v>0.38622574999999998</v>
      </c>
    </row>
    <row r="36" spans="1:368" x14ac:dyDescent="0.2">
      <c r="A36" s="2">
        <v>17</v>
      </c>
      <c r="B36" s="7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>
        <f t="shared" si="7"/>
        <v>0</v>
      </c>
      <c r="V36" s="3">
        <f t="shared" si="7"/>
        <v>0</v>
      </c>
      <c r="W36" s="3">
        <f t="shared" si="7"/>
        <v>0</v>
      </c>
      <c r="X36" s="3">
        <f t="shared" si="7"/>
        <v>0</v>
      </c>
      <c r="Y36" s="3">
        <f t="shared" si="5"/>
        <v>0</v>
      </c>
      <c r="Z36" s="3">
        <f t="shared" si="6"/>
        <v>0</v>
      </c>
      <c r="AA36" s="3">
        <f t="shared" si="6"/>
        <v>0</v>
      </c>
      <c r="AB36" s="3">
        <f t="shared" si="6"/>
        <v>0</v>
      </c>
      <c r="AC36" s="3">
        <f t="shared" si="6"/>
        <v>0</v>
      </c>
      <c r="AD36" s="3">
        <f t="shared" si="6"/>
        <v>0</v>
      </c>
      <c r="AE36" s="3">
        <f t="shared" si="6"/>
        <v>0</v>
      </c>
      <c r="AF36" s="3">
        <f t="shared" si="6"/>
        <v>1</v>
      </c>
      <c r="AG36" s="3">
        <f t="shared" si="6"/>
        <v>0</v>
      </c>
      <c r="AH36" s="3">
        <f t="shared" si="6"/>
        <v>0</v>
      </c>
      <c r="AI36" s="3">
        <f t="shared" si="6"/>
        <v>0</v>
      </c>
      <c r="AJ36" s="3">
        <f>AJ$338</f>
        <v>0</v>
      </c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8"/>
      <c r="LZ36" s="2">
        <v>0.64008818342151697</v>
      </c>
      <c r="MA36" s="1">
        <f t="shared" si="2"/>
        <v>1</v>
      </c>
      <c r="MB36" s="1">
        <v>0.35991181999999999</v>
      </c>
      <c r="MC36" s="2">
        <v>0</v>
      </c>
      <c r="MD36" s="1">
        <f t="shared" si="3"/>
        <v>0.64008818000000001</v>
      </c>
      <c r="ME36" s="1">
        <f t="shared" si="4"/>
        <v>0.35991181999999999</v>
      </c>
    </row>
    <row r="37" spans="1:368" x14ac:dyDescent="0.2">
      <c r="A37" s="2">
        <v>17.5</v>
      </c>
      <c r="B37" s="7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>
        <f t="shared" si="7"/>
        <v>0</v>
      </c>
      <c r="W37" s="3">
        <f t="shared" si="7"/>
        <v>0</v>
      </c>
      <c r="X37" s="3">
        <f t="shared" si="7"/>
        <v>0</v>
      </c>
      <c r="Y37" s="3">
        <f t="shared" si="7"/>
        <v>0</v>
      </c>
      <c r="Z37" s="3">
        <f t="shared" si="5"/>
        <v>0</v>
      </c>
      <c r="AA37" s="3">
        <f t="shared" si="6"/>
        <v>0</v>
      </c>
      <c r="AB37" s="3">
        <f t="shared" si="6"/>
        <v>0</v>
      </c>
      <c r="AC37" s="3">
        <f t="shared" si="6"/>
        <v>0</v>
      </c>
      <c r="AD37" s="3">
        <f t="shared" si="6"/>
        <v>0</v>
      </c>
      <c r="AE37" s="3">
        <f t="shared" si="6"/>
        <v>0</v>
      </c>
      <c r="AF37" s="3">
        <f t="shared" si="6"/>
        <v>1</v>
      </c>
      <c r="AG37" s="3">
        <f t="shared" si="6"/>
        <v>0</v>
      </c>
      <c r="AH37" s="3">
        <f t="shared" si="6"/>
        <v>0</v>
      </c>
      <c r="AI37" s="3">
        <f t="shared" si="6"/>
        <v>0</v>
      </c>
      <c r="AJ37" s="3">
        <f t="shared" ref="AJ37" si="8">AJ$338</f>
        <v>0</v>
      </c>
      <c r="AK37" s="3">
        <f>AK$338</f>
        <v>0</v>
      </c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8"/>
      <c r="LZ37" s="2">
        <v>0.64008818342151697</v>
      </c>
      <c r="MA37" s="1">
        <f t="shared" si="2"/>
        <v>1</v>
      </c>
      <c r="MB37" s="1">
        <v>0.35991181999999999</v>
      </c>
      <c r="MC37" s="2">
        <v>0</v>
      </c>
      <c r="MD37" s="1">
        <f t="shared" si="3"/>
        <v>0.64008818000000001</v>
      </c>
      <c r="ME37" s="1">
        <f t="shared" si="4"/>
        <v>0.35991181999999999</v>
      </c>
    </row>
    <row r="38" spans="1:368" x14ac:dyDescent="0.2">
      <c r="A38" s="2">
        <v>18</v>
      </c>
      <c r="B38" s="7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>
        <f t="shared" si="7"/>
        <v>0</v>
      </c>
      <c r="X38" s="3">
        <f t="shared" si="7"/>
        <v>0</v>
      </c>
      <c r="Y38" s="3">
        <f t="shared" si="7"/>
        <v>0</v>
      </c>
      <c r="Z38" s="3">
        <f t="shared" si="7"/>
        <v>0</v>
      </c>
      <c r="AA38" s="3">
        <f t="shared" si="5"/>
        <v>0</v>
      </c>
      <c r="AB38" s="3">
        <f t="shared" ref="AB38:AQ53" si="9">AB$338</f>
        <v>0</v>
      </c>
      <c r="AC38" s="3">
        <f t="shared" si="9"/>
        <v>0</v>
      </c>
      <c r="AD38" s="3">
        <f t="shared" si="9"/>
        <v>0</v>
      </c>
      <c r="AE38" s="3">
        <f t="shared" si="9"/>
        <v>0</v>
      </c>
      <c r="AF38" s="3">
        <f t="shared" si="9"/>
        <v>1</v>
      </c>
      <c r="AG38" s="3">
        <f t="shared" si="9"/>
        <v>0</v>
      </c>
      <c r="AH38" s="3">
        <f t="shared" si="9"/>
        <v>0</v>
      </c>
      <c r="AI38" s="3">
        <f t="shared" si="9"/>
        <v>0</v>
      </c>
      <c r="AJ38" s="3">
        <f t="shared" si="9"/>
        <v>0</v>
      </c>
      <c r="AK38" s="3">
        <f t="shared" si="9"/>
        <v>0</v>
      </c>
      <c r="AL38" s="3">
        <f>AL$338</f>
        <v>0</v>
      </c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8"/>
      <c r="LZ38" s="2">
        <v>0.69442680776014098</v>
      </c>
      <c r="MA38" s="1">
        <f t="shared" si="2"/>
        <v>1</v>
      </c>
      <c r="MB38" s="1">
        <v>0.30557318999999999</v>
      </c>
      <c r="MC38" s="2">
        <v>0</v>
      </c>
      <c r="MD38" s="1">
        <f t="shared" si="3"/>
        <v>0.69442680999999995</v>
      </c>
      <c r="ME38" s="1">
        <f t="shared" si="4"/>
        <v>0.30557318999999999</v>
      </c>
    </row>
    <row r="39" spans="1:368" x14ac:dyDescent="0.2">
      <c r="A39" s="2">
        <v>18.5</v>
      </c>
      <c r="B39" s="7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>
        <f t="shared" si="7"/>
        <v>0</v>
      </c>
      <c r="Y39" s="3">
        <f t="shared" si="7"/>
        <v>0</v>
      </c>
      <c r="Z39" s="3">
        <f t="shared" si="7"/>
        <v>0</v>
      </c>
      <c r="AA39" s="3">
        <f t="shared" si="7"/>
        <v>0</v>
      </c>
      <c r="AB39" s="3">
        <f t="shared" si="5"/>
        <v>0</v>
      </c>
      <c r="AC39" s="3">
        <f t="shared" si="9"/>
        <v>0</v>
      </c>
      <c r="AD39" s="3">
        <f t="shared" si="9"/>
        <v>0</v>
      </c>
      <c r="AE39" s="3">
        <f t="shared" si="9"/>
        <v>0</v>
      </c>
      <c r="AF39" s="3">
        <f t="shared" si="9"/>
        <v>1</v>
      </c>
      <c r="AG39" s="3">
        <f t="shared" si="9"/>
        <v>0</v>
      </c>
      <c r="AH39" s="3">
        <f t="shared" si="9"/>
        <v>0</v>
      </c>
      <c r="AI39" s="3">
        <f t="shared" si="9"/>
        <v>0</v>
      </c>
      <c r="AJ39" s="3">
        <f t="shared" si="9"/>
        <v>0</v>
      </c>
      <c r="AK39" s="3">
        <f t="shared" si="9"/>
        <v>0</v>
      </c>
      <c r="AL39" s="3">
        <f t="shared" si="9"/>
        <v>0</v>
      </c>
      <c r="AM39" s="3">
        <f>AM$338</f>
        <v>0</v>
      </c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8"/>
      <c r="LZ39" s="2">
        <v>0.69442680776014098</v>
      </c>
      <c r="MA39" s="1">
        <f t="shared" si="2"/>
        <v>1</v>
      </c>
      <c r="MB39" s="1">
        <v>0.30557318999999999</v>
      </c>
      <c r="MC39" s="2">
        <v>0</v>
      </c>
      <c r="MD39" s="1">
        <f t="shared" si="3"/>
        <v>0.69442680999999995</v>
      </c>
      <c r="ME39" s="1">
        <f t="shared" si="4"/>
        <v>0.30557318999999999</v>
      </c>
    </row>
    <row r="40" spans="1:368" x14ac:dyDescent="0.2">
      <c r="A40" s="2">
        <v>19</v>
      </c>
      <c r="B40" s="7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>
        <f t="shared" si="7"/>
        <v>0</v>
      </c>
      <c r="Z40" s="3">
        <f t="shared" si="7"/>
        <v>0</v>
      </c>
      <c r="AA40" s="3">
        <f t="shared" si="7"/>
        <v>0</v>
      </c>
      <c r="AB40" s="3">
        <f t="shared" si="7"/>
        <v>0</v>
      </c>
      <c r="AC40" s="3">
        <f t="shared" si="5"/>
        <v>0</v>
      </c>
      <c r="AD40" s="3">
        <f t="shared" si="9"/>
        <v>0</v>
      </c>
      <c r="AE40" s="3">
        <f t="shared" si="9"/>
        <v>0</v>
      </c>
      <c r="AF40" s="3">
        <f t="shared" si="9"/>
        <v>1</v>
      </c>
      <c r="AG40" s="3">
        <f t="shared" si="9"/>
        <v>0</v>
      </c>
      <c r="AH40" s="3">
        <f t="shared" si="9"/>
        <v>0</v>
      </c>
      <c r="AI40" s="3">
        <f t="shared" si="9"/>
        <v>0</v>
      </c>
      <c r="AJ40" s="3">
        <f t="shared" si="9"/>
        <v>0</v>
      </c>
      <c r="AK40" s="3">
        <f t="shared" si="9"/>
        <v>0</v>
      </c>
      <c r="AL40" s="3">
        <f t="shared" si="9"/>
        <v>0</v>
      </c>
      <c r="AM40" s="3">
        <f t="shared" si="9"/>
        <v>0</v>
      </c>
      <c r="AN40" s="3">
        <f>AN$338</f>
        <v>0</v>
      </c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8"/>
      <c r="LZ40" s="2">
        <v>0.77957671957672003</v>
      </c>
      <c r="MA40" s="1">
        <f t="shared" si="2"/>
        <v>1</v>
      </c>
      <c r="MB40" s="1">
        <v>0.22042328</v>
      </c>
      <c r="MC40" s="2">
        <v>0</v>
      </c>
      <c r="MD40" s="1">
        <f t="shared" si="3"/>
        <v>0.77957672</v>
      </c>
      <c r="ME40" s="1">
        <f t="shared" si="4"/>
        <v>0.22042328</v>
      </c>
    </row>
    <row r="41" spans="1:368" x14ac:dyDescent="0.2">
      <c r="A41" s="2">
        <v>19.5</v>
      </c>
      <c r="B41" s="7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>
        <f t="shared" si="7"/>
        <v>0</v>
      </c>
      <c r="AA41" s="3">
        <f t="shared" si="7"/>
        <v>0</v>
      </c>
      <c r="AB41" s="3">
        <f t="shared" si="7"/>
        <v>0</v>
      </c>
      <c r="AC41" s="3">
        <f t="shared" si="7"/>
        <v>0</v>
      </c>
      <c r="AD41" s="3">
        <f t="shared" si="5"/>
        <v>0</v>
      </c>
      <c r="AE41" s="3">
        <f t="shared" si="9"/>
        <v>0</v>
      </c>
      <c r="AF41" s="3">
        <f t="shared" si="9"/>
        <v>1</v>
      </c>
      <c r="AG41" s="3">
        <f t="shared" si="9"/>
        <v>0</v>
      </c>
      <c r="AH41" s="3">
        <f t="shared" si="9"/>
        <v>0</v>
      </c>
      <c r="AI41" s="3">
        <f t="shared" si="9"/>
        <v>0</v>
      </c>
      <c r="AJ41" s="3">
        <f t="shared" si="9"/>
        <v>0</v>
      </c>
      <c r="AK41" s="3">
        <f t="shared" si="9"/>
        <v>0</v>
      </c>
      <c r="AL41" s="3">
        <f t="shared" si="9"/>
        <v>0</v>
      </c>
      <c r="AM41" s="3">
        <f t="shared" si="9"/>
        <v>0</v>
      </c>
      <c r="AN41" s="3">
        <f t="shared" si="9"/>
        <v>0</v>
      </c>
      <c r="AO41" s="3">
        <f>AO$338</f>
        <v>0</v>
      </c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8"/>
      <c r="LZ41" s="2">
        <v>0.77957671957672003</v>
      </c>
      <c r="MA41" s="1">
        <f t="shared" si="2"/>
        <v>1</v>
      </c>
      <c r="MB41" s="1">
        <v>0.22042328</v>
      </c>
      <c r="MC41" s="2">
        <v>0</v>
      </c>
      <c r="MD41" s="1">
        <f t="shared" si="3"/>
        <v>0.77957672</v>
      </c>
      <c r="ME41" s="1">
        <f t="shared" si="4"/>
        <v>0.22042328</v>
      </c>
    </row>
    <row r="42" spans="1:368" x14ac:dyDescent="0.2">
      <c r="A42" s="2">
        <v>20</v>
      </c>
      <c r="B42" s="7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>
        <f t="shared" si="7"/>
        <v>0</v>
      </c>
      <c r="AB42" s="3">
        <f t="shared" si="7"/>
        <v>0</v>
      </c>
      <c r="AC42" s="3">
        <f t="shared" si="7"/>
        <v>0</v>
      </c>
      <c r="AD42" s="3">
        <f t="shared" si="7"/>
        <v>0</v>
      </c>
      <c r="AE42" s="3">
        <f t="shared" si="5"/>
        <v>0</v>
      </c>
      <c r="AF42" s="3">
        <f t="shared" si="9"/>
        <v>1</v>
      </c>
      <c r="AG42" s="3">
        <f t="shared" si="9"/>
        <v>0</v>
      </c>
      <c r="AH42" s="3">
        <f t="shared" si="9"/>
        <v>0</v>
      </c>
      <c r="AI42" s="3">
        <f t="shared" si="9"/>
        <v>0</v>
      </c>
      <c r="AJ42" s="3">
        <f t="shared" si="9"/>
        <v>0</v>
      </c>
      <c r="AK42" s="3">
        <f t="shared" si="9"/>
        <v>0</v>
      </c>
      <c r="AL42" s="3">
        <f t="shared" si="9"/>
        <v>0</v>
      </c>
      <c r="AM42" s="3">
        <f t="shared" si="9"/>
        <v>0</v>
      </c>
      <c r="AN42" s="3">
        <f t="shared" si="9"/>
        <v>0</v>
      </c>
      <c r="AO42" s="3">
        <f t="shared" si="9"/>
        <v>0</v>
      </c>
      <c r="AP42" s="3">
        <f>AP$338</f>
        <v>0</v>
      </c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8"/>
      <c r="LZ42" s="2">
        <v>0.788430335097002</v>
      </c>
      <c r="MA42" s="1">
        <f t="shared" si="2"/>
        <v>1</v>
      </c>
      <c r="MB42" s="1">
        <v>0.21156965999999999</v>
      </c>
      <c r="MC42" s="2">
        <v>0</v>
      </c>
      <c r="MD42" s="1">
        <f t="shared" si="3"/>
        <v>0.78843034000000001</v>
      </c>
      <c r="ME42" s="1">
        <f t="shared" si="4"/>
        <v>0.21156965999999999</v>
      </c>
    </row>
    <row r="43" spans="1:368" x14ac:dyDescent="0.2">
      <c r="A43" s="2">
        <v>20.5</v>
      </c>
      <c r="B43" s="7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>
        <f t="shared" si="7"/>
        <v>0</v>
      </c>
      <c r="AC43" s="3">
        <f t="shared" si="7"/>
        <v>0</v>
      </c>
      <c r="AD43" s="3">
        <f t="shared" si="7"/>
        <v>0</v>
      </c>
      <c r="AE43" s="3">
        <f t="shared" si="7"/>
        <v>0</v>
      </c>
      <c r="AF43" s="3">
        <f t="shared" si="5"/>
        <v>1</v>
      </c>
      <c r="AG43" s="3">
        <f t="shared" si="9"/>
        <v>0</v>
      </c>
      <c r="AH43" s="3">
        <f t="shared" si="9"/>
        <v>0</v>
      </c>
      <c r="AI43" s="3">
        <f t="shared" si="9"/>
        <v>0</v>
      </c>
      <c r="AJ43" s="3">
        <f t="shared" si="9"/>
        <v>0</v>
      </c>
      <c r="AK43" s="3">
        <f t="shared" si="9"/>
        <v>0</v>
      </c>
      <c r="AL43" s="3">
        <f t="shared" si="9"/>
        <v>0</v>
      </c>
      <c r="AM43" s="3">
        <f t="shared" si="9"/>
        <v>0</v>
      </c>
      <c r="AN43" s="3">
        <f t="shared" si="9"/>
        <v>0</v>
      </c>
      <c r="AO43" s="3">
        <f t="shared" si="9"/>
        <v>0</v>
      </c>
      <c r="AP43" s="3">
        <f t="shared" si="9"/>
        <v>0</v>
      </c>
      <c r="AQ43" s="3">
        <f>AQ$338</f>
        <v>0</v>
      </c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8"/>
      <c r="LZ43" s="2">
        <v>0.788430335097002</v>
      </c>
      <c r="MA43" s="1">
        <f t="shared" si="2"/>
        <v>1</v>
      </c>
      <c r="MB43" s="1">
        <v>0.21156965999999999</v>
      </c>
      <c r="MC43" s="2">
        <v>0</v>
      </c>
      <c r="MD43" s="1">
        <f t="shared" si="3"/>
        <v>0.78843034000000001</v>
      </c>
      <c r="ME43" s="1">
        <f t="shared" si="4"/>
        <v>0.21156965999999999</v>
      </c>
    </row>
    <row r="44" spans="1:368" x14ac:dyDescent="0.2">
      <c r="A44" s="2">
        <v>21</v>
      </c>
      <c r="B44" s="7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>
        <f t="shared" si="7"/>
        <v>0</v>
      </c>
      <c r="AD44" s="3">
        <f t="shared" si="7"/>
        <v>0</v>
      </c>
      <c r="AE44" s="3">
        <f t="shared" si="7"/>
        <v>0</v>
      </c>
      <c r="AF44" s="3">
        <f t="shared" si="7"/>
        <v>1</v>
      </c>
      <c r="AG44" s="3">
        <f t="shared" si="5"/>
        <v>0</v>
      </c>
      <c r="AH44" s="3">
        <f t="shared" si="9"/>
        <v>0</v>
      </c>
      <c r="AI44" s="3">
        <f t="shared" si="9"/>
        <v>0</v>
      </c>
      <c r="AJ44" s="3">
        <f t="shared" si="9"/>
        <v>0</v>
      </c>
      <c r="AK44" s="3">
        <f t="shared" si="9"/>
        <v>0</v>
      </c>
      <c r="AL44" s="3">
        <f t="shared" si="9"/>
        <v>0</v>
      </c>
      <c r="AM44" s="3">
        <f t="shared" si="9"/>
        <v>0</v>
      </c>
      <c r="AN44" s="3">
        <f t="shared" si="9"/>
        <v>0</v>
      </c>
      <c r="AO44" s="3">
        <f t="shared" si="9"/>
        <v>0</v>
      </c>
      <c r="AP44" s="3">
        <f t="shared" si="9"/>
        <v>0</v>
      </c>
      <c r="AQ44" s="3">
        <f t="shared" si="9"/>
        <v>0</v>
      </c>
      <c r="AR44" s="3">
        <f>AR$338</f>
        <v>0</v>
      </c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8"/>
      <c r="LZ44" s="2">
        <v>0.77026455026454999</v>
      </c>
      <c r="MA44" s="1">
        <f t="shared" si="2"/>
        <v>1</v>
      </c>
      <c r="MB44" s="1">
        <v>0.22973545000000001</v>
      </c>
      <c r="MC44" s="2">
        <v>0</v>
      </c>
      <c r="MD44" s="1">
        <f t="shared" si="3"/>
        <v>0.77026455000000005</v>
      </c>
      <c r="ME44" s="1">
        <f t="shared" si="4"/>
        <v>0.22973545000000001</v>
      </c>
    </row>
    <row r="45" spans="1:368" ht="13.5" thickBot="1" x14ac:dyDescent="0.25">
      <c r="A45" s="2">
        <v>21.5</v>
      </c>
      <c r="B45" s="7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>
        <f t="shared" si="7"/>
        <v>0</v>
      </c>
      <c r="AE45" s="3">
        <f t="shared" si="7"/>
        <v>0</v>
      </c>
      <c r="AF45" s="3">
        <f t="shared" si="7"/>
        <v>1</v>
      </c>
      <c r="AG45" s="3">
        <f t="shared" si="7"/>
        <v>0</v>
      </c>
      <c r="AH45" s="3">
        <f t="shared" si="9"/>
        <v>0</v>
      </c>
      <c r="AI45" s="3">
        <f t="shared" si="9"/>
        <v>0</v>
      </c>
      <c r="AJ45" s="3">
        <f t="shared" si="9"/>
        <v>0</v>
      </c>
      <c r="AK45" s="3">
        <f t="shared" si="9"/>
        <v>0</v>
      </c>
      <c r="AL45" s="3">
        <f t="shared" si="9"/>
        <v>0</v>
      </c>
      <c r="AM45" s="3">
        <f t="shared" si="9"/>
        <v>0</v>
      </c>
      <c r="AN45" s="3">
        <f t="shared" si="9"/>
        <v>0</v>
      </c>
      <c r="AO45" s="3">
        <f t="shared" si="9"/>
        <v>0</v>
      </c>
      <c r="AP45" s="3">
        <f t="shared" si="9"/>
        <v>0</v>
      </c>
      <c r="AQ45" s="3">
        <f t="shared" si="9"/>
        <v>0</v>
      </c>
      <c r="AR45" s="3">
        <f t="shared" ref="AR45:BM75" si="10">AR$338</f>
        <v>0</v>
      </c>
      <c r="AS45" s="3">
        <f>AS$338</f>
        <v>0</v>
      </c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8"/>
      <c r="LZ45" s="2">
        <v>0.77026455026454999</v>
      </c>
      <c r="MA45" s="1">
        <f t="shared" si="2"/>
        <v>1</v>
      </c>
      <c r="MB45" s="1">
        <v>0.22973545000000001</v>
      </c>
      <c r="MC45" s="2">
        <v>0</v>
      </c>
      <c r="MD45" s="1">
        <f t="shared" si="3"/>
        <v>0.77026455000000005</v>
      </c>
      <c r="ME45" s="1">
        <f t="shared" si="4"/>
        <v>0.22973545000000001</v>
      </c>
    </row>
    <row r="46" spans="1:368" x14ac:dyDescent="0.2">
      <c r="A46" s="2">
        <v>22</v>
      </c>
      <c r="B46" s="7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>
        <f t="shared" si="7"/>
        <v>0</v>
      </c>
      <c r="AF46" s="3">
        <f t="shared" si="7"/>
        <v>1</v>
      </c>
      <c r="AG46" s="3">
        <f t="shared" si="7"/>
        <v>0</v>
      </c>
      <c r="AH46" s="3">
        <f t="shared" si="9"/>
        <v>0</v>
      </c>
      <c r="AI46" s="3">
        <f t="shared" si="9"/>
        <v>0</v>
      </c>
      <c r="AJ46" s="3">
        <f t="shared" si="9"/>
        <v>0</v>
      </c>
      <c r="AK46" s="3">
        <f t="shared" si="9"/>
        <v>0</v>
      </c>
      <c r="AL46" s="3">
        <f t="shared" si="9"/>
        <v>0</v>
      </c>
      <c r="AM46" s="3">
        <f t="shared" si="9"/>
        <v>0</v>
      </c>
      <c r="AN46" s="3">
        <f t="shared" si="9"/>
        <v>0</v>
      </c>
      <c r="AO46" s="3">
        <f t="shared" si="9"/>
        <v>0</v>
      </c>
      <c r="AP46" s="3">
        <f t="shared" si="9"/>
        <v>0</v>
      </c>
      <c r="AQ46" s="3">
        <f t="shared" si="9"/>
        <v>0</v>
      </c>
      <c r="AR46" s="3">
        <f t="shared" si="10"/>
        <v>0</v>
      </c>
      <c r="AS46" s="3">
        <f t="shared" si="10"/>
        <v>0</v>
      </c>
      <c r="AT46" s="3">
        <f>AT$338</f>
        <v>0</v>
      </c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8"/>
      <c r="LZ46" s="2">
        <v>0.66982363315696603</v>
      </c>
      <c r="MA46" s="1">
        <f t="shared" si="2"/>
        <v>1</v>
      </c>
      <c r="MB46" s="1">
        <v>0.33017637</v>
      </c>
      <c r="MC46" s="2">
        <v>0</v>
      </c>
      <c r="MD46" s="1">
        <f t="shared" si="3"/>
        <v>0.66982363</v>
      </c>
      <c r="ME46" s="1">
        <f t="shared" si="4"/>
        <v>0.33017637</v>
      </c>
      <c r="MH46" s="15"/>
      <c r="MI46" s="27" t="s">
        <v>174</v>
      </c>
      <c r="MJ46" s="25"/>
      <c r="MK46" s="26"/>
      <c r="ML46" s="27" t="s">
        <v>176</v>
      </c>
      <c r="MM46" s="25"/>
      <c r="MN46" s="26"/>
      <c r="MO46" s="27" t="s">
        <v>177</v>
      </c>
      <c r="MP46" s="25"/>
      <c r="MQ46" s="26"/>
      <c r="MR46" s="27" t="s">
        <v>178</v>
      </c>
      <c r="MS46" s="25"/>
      <c r="MT46" s="26"/>
      <c r="MU46" s="27" t="s">
        <v>179</v>
      </c>
      <c r="MV46" s="25"/>
      <c r="MW46" s="26"/>
      <c r="MX46" s="27" t="s">
        <v>180</v>
      </c>
      <c r="MY46" s="25"/>
      <c r="MZ46" s="26"/>
      <c r="NA46" s="24" t="s">
        <v>181</v>
      </c>
      <c r="NB46" s="25"/>
      <c r="NC46" s="26"/>
      <c r="ND46" s="14"/>
    </row>
    <row r="47" spans="1:368" ht="13.5" thickBot="1" x14ac:dyDescent="0.25">
      <c r="A47" s="2">
        <v>22.5</v>
      </c>
      <c r="B47" s="7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>
        <f t="shared" si="7"/>
        <v>1</v>
      </c>
      <c r="AG47" s="3">
        <f t="shared" si="7"/>
        <v>0</v>
      </c>
      <c r="AH47" s="3">
        <f t="shared" si="9"/>
        <v>0</v>
      </c>
      <c r="AI47" s="3">
        <f t="shared" si="9"/>
        <v>0</v>
      </c>
      <c r="AJ47" s="3">
        <f t="shared" si="9"/>
        <v>0</v>
      </c>
      <c r="AK47" s="3">
        <f t="shared" si="9"/>
        <v>0</v>
      </c>
      <c r="AL47" s="3">
        <f t="shared" si="9"/>
        <v>0</v>
      </c>
      <c r="AM47" s="3">
        <f t="shared" si="9"/>
        <v>0</v>
      </c>
      <c r="AN47" s="3">
        <f t="shared" si="9"/>
        <v>0</v>
      </c>
      <c r="AO47" s="3">
        <f t="shared" si="9"/>
        <v>0</v>
      </c>
      <c r="AP47" s="3">
        <f t="shared" si="9"/>
        <v>0</v>
      </c>
      <c r="AQ47" s="3">
        <f t="shared" si="9"/>
        <v>0</v>
      </c>
      <c r="AR47" s="3">
        <f t="shared" si="10"/>
        <v>0</v>
      </c>
      <c r="AS47" s="3">
        <f t="shared" si="10"/>
        <v>0</v>
      </c>
      <c r="AT47" s="3">
        <f t="shared" si="10"/>
        <v>0</v>
      </c>
      <c r="AU47" s="3">
        <f>AU$338</f>
        <v>0</v>
      </c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8"/>
      <c r="LZ47" s="2">
        <v>0.66982363315696603</v>
      </c>
      <c r="MA47" s="1">
        <f t="shared" si="2"/>
        <v>1</v>
      </c>
      <c r="MB47" s="1">
        <v>0.33017637</v>
      </c>
      <c r="MC47" s="2">
        <v>0</v>
      </c>
      <c r="MD47" s="1">
        <f t="shared" si="3"/>
        <v>0.66982363</v>
      </c>
      <c r="ME47" s="1">
        <f t="shared" si="4"/>
        <v>0.33017637</v>
      </c>
      <c r="MH47" s="15"/>
      <c r="MI47" s="16" t="s">
        <v>182</v>
      </c>
      <c r="MJ47" s="17" t="s">
        <v>183</v>
      </c>
      <c r="MK47" s="18" t="s">
        <v>175</v>
      </c>
      <c r="ML47" s="16" t="s">
        <v>182</v>
      </c>
      <c r="MM47" s="17" t="s">
        <v>183</v>
      </c>
      <c r="MN47" s="18" t="s">
        <v>175</v>
      </c>
      <c r="MO47" s="16" t="s">
        <v>182</v>
      </c>
      <c r="MP47" s="17" t="s">
        <v>183</v>
      </c>
      <c r="MQ47" s="18" t="s">
        <v>175</v>
      </c>
      <c r="MR47" s="16" t="s">
        <v>182</v>
      </c>
      <c r="MS47" s="17" t="s">
        <v>183</v>
      </c>
      <c r="MT47" s="18" t="s">
        <v>175</v>
      </c>
      <c r="MU47" s="16" t="s">
        <v>182</v>
      </c>
      <c r="MV47" s="17" t="s">
        <v>183</v>
      </c>
      <c r="MW47" s="18" t="s">
        <v>175</v>
      </c>
      <c r="MX47" s="16" t="s">
        <v>182</v>
      </c>
      <c r="MY47" s="17" t="s">
        <v>183</v>
      </c>
      <c r="MZ47" s="18" t="s">
        <v>175</v>
      </c>
      <c r="NA47" s="12" t="s">
        <v>182</v>
      </c>
      <c r="NB47" s="17" t="s">
        <v>183</v>
      </c>
      <c r="NC47" s="18" t="s">
        <v>175</v>
      </c>
      <c r="ND47" s="14"/>
    </row>
    <row r="48" spans="1:368" x14ac:dyDescent="0.2">
      <c r="A48" s="2">
        <v>23</v>
      </c>
      <c r="B48" s="7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>
        <f t="shared" si="7"/>
        <v>0</v>
      </c>
      <c r="AH48" s="3">
        <f t="shared" si="9"/>
        <v>0</v>
      </c>
      <c r="AI48" s="3">
        <f t="shared" si="9"/>
        <v>0</v>
      </c>
      <c r="AJ48" s="3">
        <f t="shared" si="9"/>
        <v>0</v>
      </c>
      <c r="AK48" s="3">
        <f t="shared" si="9"/>
        <v>0</v>
      </c>
      <c r="AL48" s="3">
        <f t="shared" si="9"/>
        <v>0</v>
      </c>
      <c r="AM48" s="3">
        <f t="shared" si="9"/>
        <v>0</v>
      </c>
      <c r="AN48" s="3">
        <f t="shared" si="9"/>
        <v>0</v>
      </c>
      <c r="AO48" s="3">
        <f t="shared" si="9"/>
        <v>0</v>
      </c>
      <c r="AP48" s="3">
        <f t="shared" si="9"/>
        <v>0</v>
      </c>
      <c r="AQ48" s="3">
        <f t="shared" si="9"/>
        <v>0</v>
      </c>
      <c r="AR48" s="3">
        <f t="shared" si="10"/>
        <v>0</v>
      </c>
      <c r="AS48" s="3">
        <f t="shared" si="10"/>
        <v>0</v>
      </c>
      <c r="AT48" s="3">
        <f t="shared" si="10"/>
        <v>0</v>
      </c>
      <c r="AU48" s="3">
        <f t="shared" si="10"/>
        <v>0</v>
      </c>
      <c r="AV48" s="3">
        <f>AV$338</f>
        <v>0</v>
      </c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8"/>
      <c r="LZ48" s="2">
        <v>0.53121693121693103</v>
      </c>
      <c r="MA48" s="1">
        <f t="shared" si="2"/>
        <v>0</v>
      </c>
      <c r="MB48" s="1">
        <v>0</v>
      </c>
      <c r="MC48" s="2">
        <v>0.53121693000000003</v>
      </c>
      <c r="MD48" s="1">
        <f t="shared" si="3"/>
        <v>0.53121693000000003</v>
      </c>
      <c r="ME48" s="1">
        <f t="shared" si="4"/>
        <v>0.53121693000000003</v>
      </c>
      <c r="MH48" s="15">
        <v>1</v>
      </c>
      <c r="MI48" s="21">
        <f t="array" ref="MI48">IF(MK$61&gt;=$MH48,(SMALL(IF($B$338:$AW$338&gt;0,$B$339:$AW$339,""),$MH48)),"")</f>
        <v>0.625</v>
      </c>
      <c r="MJ48" s="19">
        <f>IF(MI48&lt;&gt;"",MI48+(8/24),"")</f>
        <v>0.95833333333333326</v>
      </c>
      <c r="MK48" s="20">
        <f>IF(MI48&lt;&gt;"",LOOKUP(MI48,$B$339:$AW$339,$B$338:$AW$338),"")</f>
        <v>1</v>
      </c>
      <c r="ML48" s="21">
        <f t="array" ref="ML48">IF(MN$61&gt;=$MH48,SMALL(IF($AX$338:$CS$338&gt;0,$AX$339:$CS$339,""),$MH48),"")</f>
        <v>0.66666666666666696</v>
      </c>
      <c r="MM48" s="19">
        <f>IF(ML48&lt;&gt;"",ML48+(8/24),"")</f>
        <v>1.0000000000000002</v>
      </c>
      <c r="MN48" s="20">
        <f>IF(ML48&lt;&gt;"",LOOKUP(ML48,$AX$339:$CS$339,$AX$338:$CS$338),"")</f>
        <v>1</v>
      </c>
      <c r="MO48" s="21">
        <f t="array" ref="MO48">IF(MQ$61&gt;=$MH48,SMALL(IF($CT$338:$EO$338&gt;0,$CT$339:$EO$339,""),$MH48),"")</f>
        <v>0.70833333333333304</v>
      </c>
      <c r="MP48" s="19">
        <f>IF(MO48&lt;&gt;"",MO48+(8/24),"")</f>
        <v>1.0416666666666663</v>
      </c>
      <c r="MQ48" s="20">
        <f>IF(MO48&lt;&gt;"",LOOKUP(MO48,$CT$339:$EO$339,$CT$338:$EO$338),"")</f>
        <v>1</v>
      </c>
      <c r="MR48" s="21">
        <f t="array" ref="MR48">IF(MT$61&gt;=$MH48,SMALL(IF($EP$338:$GK$338&gt;0,$EP$339:$GK$339,""),$MH48),"")</f>
        <v>0.66666666666666696</v>
      </c>
      <c r="MS48" s="19">
        <f>IF(MR48&lt;&gt;"",MR48+(8/24),"")</f>
        <v>1.0000000000000002</v>
      </c>
      <c r="MT48" s="20">
        <f>IF(MR48&lt;&gt;"",LOOKUP(MR48,$EP$339:$GK$339,$EP$338:$GK$338),"")</f>
        <v>1</v>
      </c>
      <c r="MU48" s="21">
        <f t="array" ref="MU48">IF(MW$61&gt;=$MH48,SMALL(IF($GL$338:$IG$338&gt;0,$GL$339:$IG$339,""),$MH48),"")</f>
        <v>0.70833333333333304</v>
      </c>
      <c r="MV48" s="19">
        <f>IF(MU48&lt;&gt;"",MU48+(8/24),"")</f>
        <v>1.0416666666666663</v>
      </c>
      <c r="MW48" s="20">
        <f>IF(MU48&lt;&gt;"",LOOKUP(MU48,$GL$339:$IG$339,$GL$338:$IG$338),"")</f>
        <v>1</v>
      </c>
      <c r="MX48" s="21">
        <f t="array" ref="MX48">IF(MZ$61&gt;=$MH48,SMALL(IF($IH$338:$KC$338&gt;0,$IH$339:$KC$339,""),$MH48),"")</f>
        <v>0.66666666666666696</v>
      </c>
      <c r="MY48" s="19">
        <f>IF(MX48&lt;&gt;"",MX48+(8/24),"")</f>
        <v>1.0000000000000002</v>
      </c>
      <c r="MZ48" s="20">
        <f>IF(MX48&lt;&gt;"",LOOKUP(MX48,$IH$339:$KC$339,$IH$338:$KC$338),"")</f>
        <v>1</v>
      </c>
      <c r="NA48" s="22">
        <f t="array" ref="NA48">IF(NC$61&gt;=$MH48,SMALL(IF($KE$338:$LY$338&gt;0,$KE$339:$LY$339,""),$MH48),"")</f>
        <v>0.625</v>
      </c>
      <c r="NB48" s="19">
        <f>IF(NA48&lt;&gt;"",NA48+(8/24),"")</f>
        <v>0.95833333333333326</v>
      </c>
      <c r="NC48" s="20">
        <f>IF(NA48&lt;&gt;"",LOOKUP(NA48,$KE$339:$LY$339,$KE$338:$LY$338),"")</f>
        <v>1</v>
      </c>
      <c r="ND48" s="14"/>
    </row>
    <row r="49" spans="1:368" x14ac:dyDescent="0.2">
      <c r="A49" s="2">
        <v>23.5</v>
      </c>
      <c r="B49" s="7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>
        <f t="shared" si="9"/>
        <v>0</v>
      </c>
      <c r="AI49" s="3">
        <f t="shared" si="9"/>
        <v>0</v>
      </c>
      <c r="AJ49" s="3">
        <f t="shared" si="9"/>
        <v>0</v>
      </c>
      <c r="AK49" s="3">
        <f t="shared" si="9"/>
        <v>0</v>
      </c>
      <c r="AL49" s="3">
        <f t="shared" si="9"/>
        <v>0</v>
      </c>
      <c r="AM49" s="3">
        <f t="shared" si="9"/>
        <v>0</v>
      </c>
      <c r="AN49" s="3">
        <f t="shared" si="9"/>
        <v>0</v>
      </c>
      <c r="AO49" s="3">
        <f t="shared" si="9"/>
        <v>0</v>
      </c>
      <c r="AP49" s="3">
        <f t="shared" si="9"/>
        <v>0</v>
      </c>
      <c r="AQ49" s="3">
        <f t="shared" si="9"/>
        <v>0</v>
      </c>
      <c r="AR49" s="3">
        <f t="shared" si="10"/>
        <v>0</v>
      </c>
      <c r="AS49" s="3">
        <f t="shared" si="10"/>
        <v>0</v>
      </c>
      <c r="AT49" s="3">
        <f t="shared" si="10"/>
        <v>0</v>
      </c>
      <c r="AU49" s="3">
        <f t="shared" si="10"/>
        <v>0</v>
      </c>
      <c r="AV49" s="3">
        <f t="shared" si="10"/>
        <v>0</v>
      </c>
      <c r="AW49" s="3">
        <f>AW$338</f>
        <v>0</v>
      </c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8"/>
      <c r="LZ49" s="2">
        <v>0.53121693121693103</v>
      </c>
      <c r="MA49" s="1">
        <f t="shared" si="2"/>
        <v>0</v>
      </c>
      <c r="MB49" s="1">
        <v>0</v>
      </c>
      <c r="MC49" s="2">
        <v>0.53121693000000003</v>
      </c>
      <c r="MD49" s="1">
        <f t="shared" si="3"/>
        <v>0.53121693000000003</v>
      </c>
      <c r="ME49" s="1">
        <f t="shared" si="4"/>
        <v>0.53121693000000003</v>
      </c>
      <c r="MH49" s="15">
        <v>2</v>
      </c>
      <c r="MI49" s="21" t="str">
        <f t="array" ref="MI49">IF(MK$61&gt;=$MH49,(SMALL(IF($B$338:$AW$338&gt;0,$B$339:$AW$339,""),$MH49)),"")</f>
        <v/>
      </c>
      <c r="MJ49" s="19" t="str">
        <f t="shared" ref="MJ49:MJ59" si="11">IF(MI49&lt;&gt;"",MI49+(8/24),"")</f>
        <v/>
      </c>
      <c r="MK49" s="20" t="str">
        <f t="shared" ref="MK49:MK59" si="12">IF(MI49&lt;&gt;"",LOOKUP(MI49,$B$339:$AW$339,$B$338:$AW$338),"")</f>
        <v/>
      </c>
      <c r="ML49" s="21" t="str">
        <f t="array" ref="ML49">IF(MN$61&gt;=$MH49,SMALL(IF($AX$338:$CS$338&gt;0,$AX$339:$CS$339,""),$MH49),"")</f>
        <v/>
      </c>
      <c r="MM49" s="19" t="str">
        <f t="shared" ref="MM49:MM59" si="13">IF(ML49&lt;&gt;"",ML49+(8/24),"")</f>
        <v/>
      </c>
      <c r="MN49" s="20" t="str">
        <f t="shared" ref="MN49:MN59" si="14">IF(ML49&lt;&gt;"",LOOKUP(ML49,$AX$339:$CS$339,$AX$338:$CS$338),"")</f>
        <v/>
      </c>
      <c r="MO49" s="21" t="str">
        <f t="array" ref="MO49">IF(MQ$61&gt;=$MH49,SMALL(IF($CT$338:$EO$338&gt;0,$CT$339:$EO$339,""),$MH49),"")</f>
        <v/>
      </c>
      <c r="MP49" s="19" t="str">
        <f t="shared" ref="MP49:MP59" si="15">IF(MO49&lt;&gt;"",MO49+(8/24),"")</f>
        <v/>
      </c>
      <c r="MQ49" s="20" t="str">
        <f t="shared" ref="MQ49:MQ59" si="16">IF(MO49&lt;&gt;"",LOOKUP(MO49,$CT$339:$EO$339,$CT$338:$EO$338),"")</f>
        <v/>
      </c>
      <c r="MR49" s="21" t="str">
        <f t="array" ref="MR49">IF(MT$61&gt;=$MH49,SMALL(IF($EP$338:$GK$338&gt;0,$EP$339:$GK$339,""),$MH49),"")</f>
        <v/>
      </c>
      <c r="MS49" s="19" t="str">
        <f t="shared" ref="MS49:MS59" si="17">IF(MR49&lt;&gt;"",MR49+(8/24),"")</f>
        <v/>
      </c>
      <c r="MT49" s="20" t="str">
        <f t="shared" ref="MT49:MT59" si="18">IF(MR49&lt;&gt;"",LOOKUP(MR49,$EP$339:$GK$339,$EP$338:$GK$338),"")</f>
        <v/>
      </c>
      <c r="MU49" s="21" t="str">
        <f t="array" ref="MU49">IF(MW$61&gt;=$MH49,SMALL(IF($GL$338:$IG$338&gt;0,$GL$339:$IG$339,""),$MH49),"")</f>
        <v/>
      </c>
      <c r="MV49" s="19" t="str">
        <f t="shared" ref="MV49:MV59" si="19">IF(MU49&lt;&gt;"",MU49+(8/24),"")</f>
        <v/>
      </c>
      <c r="MW49" s="20" t="str">
        <f t="shared" ref="MW49:MW59" si="20">IF(MU49&lt;&gt;"",LOOKUP(MU49,$GL$339:$IG$339,$GL$338:$IG$338),"")</f>
        <v/>
      </c>
      <c r="MX49" s="21" t="str">
        <f t="array" ref="MX49">IF(MZ$61&gt;=$MH49,SMALL(IF($IH$338:$KC$338&gt;0,$IH$339:$KC$339,""),$MH49),"")</f>
        <v/>
      </c>
      <c r="MY49" s="19" t="str">
        <f t="shared" ref="MY49:MY59" si="21">IF(MX49&lt;&gt;"",MX49+(8/24),"")</f>
        <v/>
      </c>
      <c r="MZ49" s="20" t="str">
        <f t="shared" ref="MZ49:MZ59" si="22">IF(MX49&lt;&gt;"",LOOKUP(MX49,$IH$339:$KC$339,$IH$338:$KC$338),"")</f>
        <v/>
      </c>
      <c r="NA49" s="22" t="str">
        <f t="array" ref="NA49">IF(NC$61&gt;=$MH49,SMALL(IF($KE$338:$LY$338&gt;0,$KE$339:$LY$339,""),$MH49),"")</f>
        <v/>
      </c>
      <c r="NB49" s="19" t="str">
        <f t="shared" ref="NB49:NB59" si="23">IF(NA49&lt;&gt;"",NA49+(8/24),"")</f>
        <v/>
      </c>
      <c r="NC49" s="20" t="str">
        <f t="shared" ref="NC49:NC59" si="24">IF(NA49&lt;&gt;"",LOOKUP(NA49,$KE$339:$LY$339,$KE$338:$LY$338),"")</f>
        <v/>
      </c>
      <c r="ND49" s="14"/>
    </row>
    <row r="50" spans="1:368" x14ac:dyDescent="0.2">
      <c r="A50" s="2">
        <v>0</v>
      </c>
      <c r="B50" s="7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>
        <f t="shared" si="9"/>
        <v>0</v>
      </c>
      <c r="AJ50" s="3">
        <f t="shared" si="9"/>
        <v>0</v>
      </c>
      <c r="AK50" s="3">
        <f t="shared" si="9"/>
        <v>0</v>
      </c>
      <c r="AL50" s="3">
        <f t="shared" si="9"/>
        <v>0</v>
      </c>
      <c r="AM50" s="3">
        <f t="shared" si="9"/>
        <v>0</v>
      </c>
      <c r="AN50" s="3">
        <f t="shared" si="9"/>
        <v>0</v>
      </c>
      <c r="AO50" s="3">
        <f t="shared" si="9"/>
        <v>0</v>
      </c>
      <c r="AP50" s="3">
        <f t="shared" si="9"/>
        <v>0</v>
      </c>
      <c r="AQ50" s="3">
        <f t="shared" si="9"/>
        <v>0</v>
      </c>
      <c r="AR50" s="3">
        <f t="shared" si="10"/>
        <v>0</v>
      </c>
      <c r="AS50" s="3">
        <f t="shared" si="10"/>
        <v>0</v>
      </c>
      <c r="AT50" s="3">
        <f t="shared" si="10"/>
        <v>0</v>
      </c>
      <c r="AU50" s="3">
        <f t="shared" si="10"/>
        <v>0</v>
      </c>
      <c r="AV50" s="3">
        <f t="shared" si="10"/>
        <v>0</v>
      </c>
      <c r="AW50" s="3">
        <f t="shared" si="10"/>
        <v>0</v>
      </c>
      <c r="AX50" s="3">
        <f>AX$338</f>
        <v>0</v>
      </c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8"/>
      <c r="LZ50" s="2">
        <v>0.37382716049382703</v>
      </c>
      <c r="MA50" s="1">
        <f t="shared" si="2"/>
        <v>0</v>
      </c>
      <c r="MB50" s="1">
        <v>0</v>
      </c>
      <c r="MC50" s="2">
        <v>0.37382715999999999</v>
      </c>
      <c r="MD50" s="1">
        <f t="shared" si="3"/>
        <v>0.37382715999999999</v>
      </c>
      <c r="ME50" s="1">
        <f t="shared" si="4"/>
        <v>0.37382715999999999</v>
      </c>
      <c r="MH50" s="15">
        <v>3</v>
      </c>
      <c r="MI50" s="21" t="str">
        <f t="array" ref="MI50">IF(MK$61&gt;=$MH50,(SMALL(IF($B$338:$AW$338&gt;0,$B$339:$AW$339,""),$MH50)),"")</f>
        <v/>
      </c>
      <c r="MJ50" s="19" t="str">
        <f t="shared" si="11"/>
        <v/>
      </c>
      <c r="MK50" s="20" t="str">
        <f t="shared" si="12"/>
        <v/>
      </c>
      <c r="ML50" s="21" t="str">
        <f t="array" ref="ML50">IF(MN$61&gt;=$MH50,SMALL(IF($AX$338:$CS$338&gt;0,$AX$339:$CS$339,""),$MH50),"")</f>
        <v/>
      </c>
      <c r="MM50" s="19" t="str">
        <f t="shared" si="13"/>
        <v/>
      </c>
      <c r="MN50" s="20" t="str">
        <f t="shared" si="14"/>
        <v/>
      </c>
      <c r="MO50" s="21" t="str">
        <f t="array" ref="MO50">IF(MQ$61&gt;=$MH50,SMALL(IF($CT$338:$EO$338&gt;0,$CT$339:$EO$339,""),$MH50),"")</f>
        <v/>
      </c>
      <c r="MP50" s="19" t="str">
        <f t="shared" si="15"/>
        <v/>
      </c>
      <c r="MQ50" s="20" t="str">
        <f t="shared" si="16"/>
        <v/>
      </c>
      <c r="MR50" s="21" t="str">
        <f t="array" ref="MR50">IF(MT$61&gt;=$MH50,SMALL(IF($EP$338:$GK$338&gt;0,$EP$339:$GK$339,""),$MH50),"")</f>
        <v/>
      </c>
      <c r="MS50" s="19" t="str">
        <f t="shared" si="17"/>
        <v/>
      </c>
      <c r="MT50" s="20" t="str">
        <f t="shared" si="18"/>
        <v/>
      </c>
      <c r="MU50" s="21" t="str">
        <f t="array" ref="MU50">IF(MW$61&gt;=$MH50,SMALL(IF($GL$338:$IG$338&gt;0,$GL$339:$IG$339,""),$MH50),"")</f>
        <v/>
      </c>
      <c r="MV50" s="19" t="str">
        <f t="shared" si="19"/>
        <v/>
      </c>
      <c r="MW50" s="20" t="str">
        <f t="shared" si="20"/>
        <v/>
      </c>
      <c r="MX50" s="21" t="str">
        <f t="array" ref="MX50">IF(MZ$61&gt;=$MH50,SMALL(IF($IH$338:$KC$338&gt;0,$IH$339:$KC$339,""),$MH50),"")</f>
        <v/>
      </c>
      <c r="MY50" s="19" t="str">
        <f t="shared" si="21"/>
        <v/>
      </c>
      <c r="MZ50" s="20" t="str">
        <f t="shared" si="22"/>
        <v/>
      </c>
      <c r="NA50" s="22" t="str">
        <f t="array" ref="NA50">IF(NC$61&gt;=$MH50,SMALL(IF($KE$338:$LY$338&gt;0,$KE$339:$LY$339,""),$MH50),"")</f>
        <v/>
      </c>
      <c r="NB50" s="19" t="str">
        <f t="shared" si="23"/>
        <v/>
      </c>
      <c r="NC50" s="20" t="str">
        <f t="shared" si="24"/>
        <v/>
      </c>
      <c r="ND50" s="14"/>
    </row>
    <row r="51" spans="1:368" x14ac:dyDescent="0.2">
      <c r="A51" s="2">
        <v>0.5</v>
      </c>
      <c r="B51" s="7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>
        <f t="shared" si="9"/>
        <v>0</v>
      </c>
      <c r="AK51" s="3">
        <f t="shared" si="9"/>
        <v>0</v>
      </c>
      <c r="AL51" s="3">
        <f t="shared" si="9"/>
        <v>0</v>
      </c>
      <c r="AM51" s="3">
        <f t="shared" si="9"/>
        <v>0</v>
      </c>
      <c r="AN51" s="3">
        <f t="shared" si="9"/>
        <v>0</v>
      </c>
      <c r="AO51" s="3">
        <f t="shared" si="9"/>
        <v>0</v>
      </c>
      <c r="AP51" s="3">
        <f t="shared" si="9"/>
        <v>0</v>
      </c>
      <c r="AQ51" s="3">
        <f t="shared" si="9"/>
        <v>0</v>
      </c>
      <c r="AR51" s="3">
        <f t="shared" si="10"/>
        <v>0</v>
      </c>
      <c r="AS51" s="3">
        <f t="shared" si="10"/>
        <v>0</v>
      </c>
      <c r="AT51" s="3">
        <f t="shared" si="10"/>
        <v>0</v>
      </c>
      <c r="AU51" s="3">
        <f t="shared" si="10"/>
        <v>0</v>
      </c>
      <c r="AV51" s="3">
        <f t="shared" si="10"/>
        <v>0</v>
      </c>
      <c r="AW51" s="3">
        <f t="shared" si="10"/>
        <v>0</v>
      </c>
      <c r="AX51" s="3">
        <f t="shared" si="10"/>
        <v>0</v>
      </c>
      <c r="AY51" s="3">
        <f>AY$338</f>
        <v>0</v>
      </c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8"/>
      <c r="LZ51" s="2">
        <v>0.37382716049382703</v>
      </c>
      <c r="MA51" s="1">
        <f t="shared" si="2"/>
        <v>0</v>
      </c>
      <c r="MB51" s="1">
        <v>0</v>
      </c>
      <c r="MC51" s="2">
        <v>0.37382715999999999</v>
      </c>
      <c r="MD51" s="1">
        <f t="shared" si="3"/>
        <v>0.37382715999999999</v>
      </c>
      <c r="ME51" s="1">
        <f t="shared" si="4"/>
        <v>0.37382715999999999</v>
      </c>
      <c r="MH51" s="15">
        <v>4</v>
      </c>
      <c r="MI51" s="21" t="str">
        <f t="array" ref="MI51">IF(MK$61&gt;=$MH51,(SMALL(IF($B$338:$AW$338&gt;0,$B$339:$AW$339,""),$MH51)),"")</f>
        <v/>
      </c>
      <c r="MJ51" s="19" t="str">
        <f t="shared" si="11"/>
        <v/>
      </c>
      <c r="MK51" s="20" t="str">
        <f t="shared" si="12"/>
        <v/>
      </c>
      <c r="ML51" s="21" t="str">
        <f t="array" ref="ML51">IF(MN$61&gt;=$MH51,SMALL(IF($AX$338:$CS$338&gt;0,$AX$339:$CS$339,""),$MH51),"")</f>
        <v/>
      </c>
      <c r="MM51" s="19" t="str">
        <f t="shared" si="13"/>
        <v/>
      </c>
      <c r="MN51" s="20" t="str">
        <f t="shared" si="14"/>
        <v/>
      </c>
      <c r="MO51" s="21" t="str">
        <f t="array" ref="MO51">IF(MQ$61&gt;=$MH51,SMALL(IF($CT$338:$EO$338&gt;0,$CT$339:$EO$339,""),$MH51),"")</f>
        <v/>
      </c>
      <c r="MP51" s="19" t="str">
        <f t="shared" si="15"/>
        <v/>
      </c>
      <c r="MQ51" s="20" t="str">
        <f t="shared" si="16"/>
        <v/>
      </c>
      <c r="MR51" s="21" t="str">
        <f t="array" ref="MR51">IF(MT$61&gt;=$MH51,SMALL(IF($EP$338:$GK$338&gt;0,$EP$339:$GK$339,""),$MH51),"")</f>
        <v/>
      </c>
      <c r="MS51" s="19" t="str">
        <f t="shared" si="17"/>
        <v/>
      </c>
      <c r="MT51" s="20" t="str">
        <f t="shared" si="18"/>
        <v/>
      </c>
      <c r="MU51" s="21" t="str">
        <f t="array" ref="MU51">IF(MW$61&gt;=$MH51,SMALL(IF($GL$338:$IG$338&gt;0,$GL$339:$IG$339,""),$MH51),"")</f>
        <v/>
      </c>
      <c r="MV51" s="19" t="str">
        <f t="shared" si="19"/>
        <v/>
      </c>
      <c r="MW51" s="20" t="str">
        <f t="shared" si="20"/>
        <v/>
      </c>
      <c r="MX51" s="21" t="str">
        <f t="array" ref="MX51">IF(MZ$61&gt;=$MH51,SMALL(IF($IH$338:$KC$338&gt;0,$IH$339:$KC$339,""),$MH51),"")</f>
        <v/>
      </c>
      <c r="MY51" s="19" t="str">
        <f t="shared" si="21"/>
        <v/>
      </c>
      <c r="MZ51" s="20" t="str">
        <f t="shared" si="22"/>
        <v/>
      </c>
      <c r="NA51" s="22" t="str">
        <f t="array" ref="NA51">IF(NC$61&gt;=$MH51,SMALL(IF($KE$338:$LY$338&gt;0,$KE$339:$LY$339,""),$MH51),"")</f>
        <v/>
      </c>
      <c r="NB51" s="19" t="str">
        <f t="shared" si="23"/>
        <v/>
      </c>
      <c r="NC51" s="20" t="str">
        <f t="shared" si="24"/>
        <v/>
      </c>
      <c r="ND51" s="14"/>
    </row>
    <row r="52" spans="1:368" x14ac:dyDescent="0.2">
      <c r="A52" s="2">
        <v>1</v>
      </c>
      <c r="B52" s="7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>
        <f t="shared" si="9"/>
        <v>0</v>
      </c>
      <c r="AL52" s="3">
        <f t="shared" si="9"/>
        <v>0</v>
      </c>
      <c r="AM52" s="3">
        <f t="shared" si="9"/>
        <v>0</v>
      </c>
      <c r="AN52" s="3">
        <f t="shared" si="9"/>
        <v>0</v>
      </c>
      <c r="AO52" s="3">
        <f t="shared" si="9"/>
        <v>0</v>
      </c>
      <c r="AP52" s="3">
        <f t="shared" si="9"/>
        <v>0</v>
      </c>
      <c r="AQ52" s="3">
        <f t="shared" si="9"/>
        <v>0</v>
      </c>
      <c r="AR52" s="3">
        <f t="shared" si="10"/>
        <v>0</v>
      </c>
      <c r="AS52" s="3">
        <f t="shared" si="10"/>
        <v>0</v>
      </c>
      <c r="AT52" s="3">
        <f t="shared" si="10"/>
        <v>0</v>
      </c>
      <c r="AU52" s="3">
        <f t="shared" si="10"/>
        <v>0</v>
      </c>
      <c r="AV52" s="3">
        <f t="shared" si="10"/>
        <v>0</v>
      </c>
      <c r="AW52" s="3">
        <f t="shared" si="10"/>
        <v>0</v>
      </c>
      <c r="AX52" s="3">
        <f t="shared" si="10"/>
        <v>0</v>
      </c>
      <c r="AY52" s="3">
        <f t="shared" si="10"/>
        <v>0</v>
      </c>
      <c r="AZ52" s="3">
        <f>AZ$338</f>
        <v>0</v>
      </c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8"/>
      <c r="LZ52" s="2">
        <v>0.25723104056437401</v>
      </c>
      <c r="MA52" s="1">
        <f t="shared" si="2"/>
        <v>0</v>
      </c>
      <c r="MB52" s="1">
        <v>0</v>
      </c>
      <c r="MC52" s="2">
        <v>0.25723104000000002</v>
      </c>
      <c r="MD52" s="1">
        <f t="shared" si="3"/>
        <v>0.25723104000000002</v>
      </c>
      <c r="ME52" s="1">
        <f t="shared" si="4"/>
        <v>0.25723104000000002</v>
      </c>
      <c r="MH52" s="15">
        <v>5</v>
      </c>
      <c r="MI52" s="21" t="str">
        <f t="array" ref="MI52">IF(MK$61&gt;=$MH52,(SMALL(IF($B$338:$AW$338&gt;0,$B$339:$AW$339,""),$MH52)),"")</f>
        <v/>
      </c>
      <c r="MJ52" s="19" t="str">
        <f t="shared" si="11"/>
        <v/>
      </c>
      <c r="MK52" s="20" t="str">
        <f t="shared" si="12"/>
        <v/>
      </c>
      <c r="ML52" s="21" t="str">
        <f t="array" ref="ML52">IF(MN$61&gt;=$MH52,SMALL(IF($AX$338:$CS$338&gt;0,$AX$339:$CS$339,""),$MH52),"")</f>
        <v/>
      </c>
      <c r="MM52" s="19" t="str">
        <f t="shared" si="13"/>
        <v/>
      </c>
      <c r="MN52" s="20" t="str">
        <f t="shared" si="14"/>
        <v/>
      </c>
      <c r="MO52" s="21" t="str">
        <f t="array" ref="MO52">IF(MQ$61&gt;=$MH52,SMALL(IF($CT$338:$EO$338&gt;0,$CT$339:$EO$339,""),$MH52),"")</f>
        <v/>
      </c>
      <c r="MP52" s="19" t="str">
        <f t="shared" si="15"/>
        <v/>
      </c>
      <c r="MQ52" s="20" t="str">
        <f t="shared" si="16"/>
        <v/>
      </c>
      <c r="MR52" s="21" t="str">
        <f t="array" ref="MR52">IF(MT$61&gt;=$MH52,SMALL(IF($EP$338:$GK$338&gt;0,$EP$339:$GK$339,""),$MH52),"")</f>
        <v/>
      </c>
      <c r="MS52" s="19" t="str">
        <f t="shared" si="17"/>
        <v/>
      </c>
      <c r="MT52" s="20" t="str">
        <f t="shared" si="18"/>
        <v/>
      </c>
      <c r="MU52" s="21" t="str">
        <f t="array" ref="MU52">IF(MW$61&gt;=$MH52,SMALL(IF($GL$338:$IG$338&gt;0,$GL$339:$IG$339,""),$MH52),"")</f>
        <v/>
      </c>
      <c r="MV52" s="19" t="str">
        <f t="shared" si="19"/>
        <v/>
      </c>
      <c r="MW52" s="20" t="str">
        <f t="shared" si="20"/>
        <v/>
      </c>
      <c r="MX52" s="21" t="str">
        <f t="array" ref="MX52">IF(MZ$61&gt;=$MH52,SMALL(IF($IH$338:$KC$338&gt;0,$IH$339:$KC$339,""),$MH52),"")</f>
        <v/>
      </c>
      <c r="MY52" s="19" t="str">
        <f t="shared" si="21"/>
        <v/>
      </c>
      <c r="MZ52" s="20" t="str">
        <f t="shared" si="22"/>
        <v/>
      </c>
      <c r="NA52" s="22" t="str">
        <f t="array" ref="NA52">IF(NC$61&gt;=$MH52,SMALL(IF($KE$338:$LY$338&gt;0,$KE$339:$LY$339,""),$MH52),"")</f>
        <v/>
      </c>
      <c r="NB52" s="19" t="str">
        <f t="shared" si="23"/>
        <v/>
      </c>
      <c r="NC52" s="20" t="str">
        <f t="shared" si="24"/>
        <v/>
      </c>
      <c r="ND52" s="14"/>
    </row>
    <row r="53" spans="1:368" x14ac:dyDescent="0.2">
      <c r="A53" s="2">
        <v>1.5</v>
      </c>
      <c r="B53" s="7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>
        <f t="shared" si="9"/>
        <v>0</v>
      </c>
      <c r="AM53" s="3">
        <f t="shared" si="9"/>
        <v>0</v>
      </c>
      <c r="AN53" s="3">
        <f t="shared" si="9"/>
        <v>0</v>
      </c>
      <c r="AO53" s="3">
        <f t="shared" si="9"/>
        <v>0</v>
      </c>
      <c r="AP53" s="3">
        <f t="shared" si="9"/>
        <v>0</v>
      </c>
      <c r="AQ53" s="3">
        <f t="shared" si="9"/>
        <v>0</v>
      </c>
      <c r="AR53" s="3">
        <f t="shared" si="10"/>
        <v>0</v>
      </c>
      <c r="AS53" s="3">
        <f t="shared" si="10"/>
        <v>0</v>
      </c>
      <c r="AT53" s="3">
        <f t="shared" si="10"/>
        <v>0</v>
      </c>
      <c r="AU53" s="3">
        <f t="shared" si="10"/>
        <v>0</v>
      </c>
      <c r="AV53" s="3">
        <f t="shared" si="10"/>
        <v>0</v>
      </c>
      <c r="AW53" s="3">
        <f t="shared" si="10"/>
        <v>0</v>
      </c>
      <c r="AX53" s="3">
        <f t="shared" si="10"/>
        <v>0</v>
      </c>
      <c r="AY53" s="3">
        <f t="shared" si="10"/>
        <v>0</v>
      </c>
      <c r="AZ53" s="3">
        <f t="shared" si="10"/>
        <v>0</v>
      </c>
      <c r="BA53" s="3">
        <f>BA$338</f>
        <v>0</v>
      </c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8"/>
      <c r="LZ53" s="2">
        <v>0.25723104056437401</v>
      </c>
      <c r="MA53" s="1">
        <f t="shared" si="2"/>
        <v>0</v>
      </c>
      <c r="MB53" s="1">
        <v>0</v>
      </c>
      <c r="MC53" s="2">
        <v>0.25723104000000002</v>
      </c>
      <c r="MD53" s="1">
        <f t="shared" si="3"/>
        <v>0.25723104000000002</v>
      </c>
      <c r="ME53" s="1">
        <f t="shared" si="4"/>
        <v>0.25723104000000002</v>
      </c>
      <c r="MH53" s="15">
        <v>6</v>
      </c>
      <c r="MI53" s="21" t="str">
        <f t="array" ref="MI53">IF(MK$61&gt;=$MH53,(SMALL(IF($B$338:$AW$338&gt;0,$B$339:$AW$339,""),$MH53)),"")</f>
        <v/>
      </c>
      <c r="MJ53" s="19" t="str">
        <f t="shared" si="11"/>
        <v/>
      </c>
      <c r="MK53" s="20" t="str">
        <f t="shared" si="12"/>
        <v/>
      </c>
      <c r="ML53" s="21" t="str">
        <f t="array" ref="ML53">IF(MN$61&gt;=$MH53,SMALL(IF($AX$338:$CS$338&gt;0,$AX$339:$CS$339,""),$MH53),"")</f>
        <v/>
      </c>
      <c r="MM53" s="19" t="str">
        <f t="shared" si="13"/>
        <v/>
      </c>
      <c r="MN53" s="20" t="str">
        <f t="shared" si="14"/>
        <v/>
      </c>
      <c r="MO53" s="21" t="str">
        <f t="array" ref="MO53">IF(MQ$61&gt;=$MH53,SMALL(IF($CT$338:$EO$338&gt;0,$CT$339:$EO$339,""),$MH53),"")</f>
        <v/>
      </c>
      <c r="MP53" s="19" t="str">
        <f t="shared" si="15"/>
        <v/>
      </c>
      <c r="MQ53" s="20" t="str">
        <f t="shared" si="16"/>
        <v/>
      </c>
      <c r="MR53" s="21" t="str">
        <f t="array" ref="MR53">IF(MT$61&gt;=$MH53,SMALL(IF($EP$338:$GK$338&gt;0,$EP$339:$GK$339,""),$MH53),"")</f>
        <v/>
      </c>
      <c r="MS53" s="19" t="str">
        <f t="shared" si="17"/>
        <v/>
      </c>
      <c r="MT53" s="20" t="str">
        <f t="shared" si="18"/>
        <v/>
      </c>
      <c r="MU53" s="21" t="str">
        <f t="array" ref="MU53">IF(MW$61&gt;=$MH53,SMALL(IF($GL$338:$IG$338&gt;0,$GL$339:$IG$339,""),$MH53),"")</f>
        <v/>
      </c>
      <c r="MV53" s="19" t="str">
        <f t="shared" si="19"/>
        <v/>
      </c>
      <c r="MW53" s="20" t="str">
        <f t="shared" si="20"/>
        <v/>
      </c>
      <c r="MX53" s="21" t="str">
        <f t="array" ref="MX53">IF(MZ$61&gt;=$MH53,SMALL(IF($IH$338:$KC$338&gt;0,$IH$339:$KC$339,""),$MH53),"")</f>
        <v/>
      </c>
      <c r="MY53" s="19" t="str">
        <f t="shared" si="21"/>
        <v/>
      </c>
      <c r="MZ53" s="20" t="str">
        <f t="shared" si="22"/>
        <v/>
      </c>
      <c r="NA53" s="22" t="str">
        <f t="array" ref="NA53">IF(NC$61&gt;=$MH53,SMALL(IF($KE$338:$LY$338&gt;0,$KE$339:$LY$339,""),$MH53),"")</f>
        <v/>
      </c>
      <c r="NB53" s="19" t="str">
        <f t="shared" si="23"/>
        <v/>
      </c>
      <c r="NC53" s="20" t="str">
        <f t="shared" si="24"/>
        <v/>
      </c>
      <c r="ND53" s="14"/>
    </row>
    <row r="54" spans="1:368" x14ac:dyDescent="0.2">
      <c r="A54" s="2">
        <v>2</v>
      </c>
      <c r="B54" s="7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>
        <f t="shared" ref="AM54:BM79" si="25">AM$338</f>
        <v>0</v>
      </c>
      <c r="AN54" s="3">
        <f t="shared" si="25"/>
        <v>0</v>
      </c>
      <c r="AO54" s="3">
        <f t="shared" si="25"/>
        <v>0</v>
      </c>
      <c r="AP54" s="3">
        <f t="shared" si="25"/>
        <v>0</v>
      </c>
      <c r="AQ54" s="3">
        <f t="shared" si="25"/>
        <v>0</v>
      </c>
      <c r="AR54" s="3">
        <f t="shared" si="25"/>
        <v>0</v>
      </c>
      <c r="AS54" s="3">
        <f t="shared" si="25"/>
        <v>0</v>
      </c>
      <c r="AT54" s="3">
        <f t="shared" si="25"/>
        <v>0</v>
      </c>
      <c r="AU54" s="3">
        <f t="shared" si="25"/>
        <v>0</v>
      </c>
      <c r="AV54" s="3">
        <f t="shared" si="25"/>
        <v>0</v>
      </c>
      <c r="AW54" s="3">
        <f t="shared" si="25"/>
        <v>0</v>
      </c>
      <c r="AX54" s="3">
        <f t="shared" si="25"/>
        <v>0</v>
      </c>
      <c r="AY54" s="3">
        <f t="shared" si="25"/>
        <v>0</v>
      </c>
      <c r="AZ54" s="3">
        <f t="shared" si="10"/>
        <v>0</v>
      </c>
      <c r="BA54" s="3">
        <f t="shared" si="10"/>
        <v>0</v>
      </c>
      <c r="BB54" s="3">
        <f>BB$338</f>
        <v>0</v>
      </c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8"/>
      <c r="LZ54" s="2">
        <v>0.15552028218694899</v>
      </c>
      <c r="MA54" s="1">
        <f t="shared" si="2"/>
        <v>0</v>
      </c>
      <c r="MB54" s="1">
        <v>0</v>
      </c>
      <c r="MC54" s="2">
        <v>0.15552028000000001</v>
      </c>
      <c r="MD54" s="1">
        <f t="shared" si="3"/>
        <v>0.15552028000000001</v>
      </c>
      <c r="ME54" s="1">
        <f t="shared" si="4"/>
        <v>0.15552028000000001</v>
      </c>
      <c r="MH54" s="15">
        <v>7</v>
      </c>
      <c r="MI54" s="21" t="str">
        <f t="array" ref="MI54">IF(MK$61&gt;=$MH54,(SMALL(IF($B$338:$AW$338&gt;0,$B$339:$AW$339,""),$MH54)),"")</f>
        <v/>
      </c>
      <c r="MJ54" s="19" t="str">
        <f t="shared" si="11"/>
        <v/>
      </c>
      <c r="MK54" s="20" t="str">
        <f t="shared" si="12"/>
        <v/>
      </c>
      <c r="ML54" s="21" t="str">
        <f t="array" ref="ML54">IF(MN$61&gt;=$MH54,SMALL(IF($AX$338:$CS$338&gt;0,$AX$339:$CS$339,""),$MH54),"")</f>
        <v/>
      </c>
      <c r="MM54" s="19" t="str">
        <f t="shared" si="13"/>
        <v/>
      </c>
      <c r="MN54" s="20" t="str">
        <f t="shared" si="14"/>
        <v/>
      </c>
      <c r="MO54" s="21" t="str">
        <f t="array" ref="MO54">IF(MQ$61&gt;=$MH54,SMALL(IF($CT$338:$EO$338&gt;0,$CT$339:$EO$339,""),$MH54),"")</f>
        <v/>
      </c>
      <c r="MP54" s="19" t="str">
        <f t="shared" si="15"/>
        <v/>
      </c>
      <c r="MQ54" s="20" t="str">
        <f t="shared" si="16"/>
        <v/>
      </c>
      <c r="MR54" s="21" t="str">
        <f t="array" ref="MR54">IF(MT$61&gt;=$MH54,SMALL(IF($EP$338:$GK$338&gt;0,$EP$339:$GK$339,""),$MH54),"")</f>
        <v/>
      </c>
      <c r="MS54" s="19" t="str">
        <f t="shared" si="17"/>
        <v/>
      </c>
      <c r="MT54" s="20" t="str">
        <f t="shared" si="18"/>
        <v/>
      </c>
      <c r="MU54" s="21" t="str">
        <f t="array" ref="MU54">IF(MW$61&gt;=$MH54,SMALL(IF($GL$338:$IG$338&gt;0,$GL$339:$IG$339,""),$MH54),"")</f>
        <v/>
      </c>
      <c r="MV54" s="19" t="str">
        <f t="shared" si="19"/>
        <v/>
      </c>
      <c r="MW54" s="20" t="str">
        <f t="shared" si="20"/>
        <v/>
      </c>
      <c r="MX54" s="21" t="str">
        <f t="array" ref="MX54">IF(MZ$61&gt;=$MH54,SMALL(IF($IH$338:$KC$338&gt;0,$IH$339:$KC$339,""),$MH54),"")</f>
        <v/>
      </c>
      <c r="MY54" s="19" t="str">
        <f t="shared" si="21"/>
        <v/>
      </c>
      <c r="MZ54" s="20" t="str">
        <f t="shared" si="22"/>
        <v/>
      </c>
      <c r="NA54" s="22" t="str">
        <f t="array" ref="NA54">IF(NC$61&gt;=$MH54,SMALL(IF($KE$338:$LY$338&gt;0,$KE$339:$LY$339,""),$MH54),"")</f>
        <v/>
      </c>
      <c r="NB54" s="19" t="str">
        <f t="shared" si="23"/>
        <v/>
      </c>
      <c r="NC54" s="20" t="str">
        <f t="shared" si="24"/>
        <v/>
      </c>
      <c r="ND54" s="14"/>
    </row>
    <row r="55" spans="1:368" x14ac:dyDescent="0.2">
      <c r="A55" s="2">
        <v>2.5</v>
      </c>
      <c r="B55" s="7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>
        <f t="shared" si="25"/>
        <v>0</v>
      </c>
      <c r="AO55" s="3">
        <f t="shared" si="25"/>
        <v>0</v>
      </c>
      <c r="AP55" s="3">
        <f t="shared" si="25"/>
        <v>0</v>
      </c>
      <c r="AQ55" s="3">
        <f t="shared" si="25"/>
        <v>0</v>
      </c>
      <c r="AR55" s="3">
        <f t="shared" si="25"/>
        <v>0</v>
      </c>
      <c r="AS55" s="3">
        <f t="shared" si="25"/>
        <v>0</v>
      </c>
      <c r="AT55" s="3">
        <f t="shared" si="25"/>
        <v>0</v>
      </c>
      <c r="AU55" s="3">
        <f t="shared" si="25"/>
        <v>0</v>
      </c>
      <c r="AV55" s="3">
        <f t="shared" si="25"/>
        <v>0</v>
      </c>
      <c r="AW55" s="3">
        <f t="shared" si="25"/>
        <v>0</v>
      </c>
      <c r="AX55" s="3">
        <f t="shared" si="25"/>
        <v>0</v>
      </c>
      <c r="AY55" s="3">
        <f t="shared" si="25"/>
        <v>0</v>
      </c>
      <c r="AZ55" s="3">
        <f t="shared" si="10"/>
        <v>0</v>
      </c>
      <c r="BA55" s="3">
        <f t="shared" si="10"/>
        <v>0</v>
      </c>
      <c r="BB55" s="3">
        <f t="shared" si="10"/>
        <v>0</v>
      </c>
      <c r="BC55" s="3">
        <f>BC$338</f>
        <v>0</v>
      </c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8"/>
      <c r="LZ55" s="2">
        <v>0.15552028218694899</v>
      </c>
      <c r="MA55" s="1">
        <f t="shared" si="2"/>
        <v>0</v>
      </c>
      <c r="MB55" s="1">
        <v>0</v>
      </c>
      <c r="MC55" s="2">
        <v>0.15552028000000001</v>
      </c>
      <c r="MD55" s="1">
        <f t="shared" si="3"/>
        <v>0.15552028000000001</v>
      </c>
      <c r="ME55" s="1">
        <f t="shared" si="4"/>
        <v>0.15552028000000001</v>
      </c>
      <c r="MH55" s="15">
        <v>8</v>
      </c>
      <c r="MI55" s="21" t="str">
        <f t="array" ref="MI55">IF(MK$61&gt;=$MH55,(SMALL(IF($B$338:$AW$338&gt;0,$B$339:$AW$339,""),$MH55)),"")</f>
        <v/>
      </c>
      <c r="MJ55" s="19" t="str">
        <f t="shared" si="11"/>
        <v/>
      </c>
      <c r="MK55" s="20" t="str">
        <f t="shared" si="12"/>
        <v/>
      </c>
      <c r="ML55" s="21" t="str">
        <f t="array" ref="ML55">IF(MN$61&gt;=$MH55,SMALL(IF($AX$338:$CS$338&gt;0,$AX$339:$CS$339,""),$MH55),"")</f>
        <v/>
      </c>
      <c r="MM55" s="19" t="str">
        <f t="shared" si="13"/>
        <v/>
      </c>
      <c r="MN55" s="20" t="str">
        <f t="shared" si="14"/>
        <v/>
      </c>
      <c r="MO55" s="21" t="str">
        <f t="array" ref="MO55">IF(MQ$61&gt;=$MH55,SMALL(IF($CT$338:$EO$338&gt;0,$CT$339:$EO$339,""),$MH55),"")</f>
        <v/>
      </c>
      <c r="MP55" s="19" t="str">
        <f t="shared" si="15"/>
        <v/>
      </c>
      <c r="MQ55" s="20" t="str">
        <f t="shared" si="16"/>
        <v/>
      </c>
      <c r="MR55" s="21" t="str">
        <f t="array" ref="MR55">IF(MT$61&gt;=$MH55,SMALL(IF($EP$338:$GK$338&gt;0,$EP$339:$GK$339,""),$MH55),"")</f>
        <v/>
      </c>
      <c r="MS55" s="19" t="str">
        <f t="shared" si="17"/>
        <v/>
      </c>
      <c r="MT55" s="20" t="str">
        <f t="shared" si="18"/>
        <v/>
      </c>
      <c r="MU55" s="21" t="str">
        <f t="array" ref="MU55">IF(MW$61&gt;=$MH55,SMALL(IF($GL$338:$IG$338&gt;0,$GL$339:$IG$339,""),$MH55),"")</f>
        <v/>
      </c>
      <c r="MV55" s="19" t="str">
        <f t="shared" si="19"/>
        <v/>
      </c>
      <c r="MW55" s="20" t="str">
        <f t="shared" si="20"/>
        <v/>
      </c>
      <c r="MX55" s="21" t="str">
        <f t="array" ref="MX55">IF(MZ$61&gt;=$MH55,SMALL(IF($IH$338:$KC$338&gt;0,$IH$339:$KC$339,""),$MH55),"")</f>
        <v/>
      </c>
      <c r="MY55" s="19" t="str">
        <f t="shared" si="21"/>
        <v/>
      </c>
      <c r="MZ55" s="20" t="str">
        <f t="shared" si="22"/>
        <v/>
      </c>
      <c r="NA55" s="22" t="str">
        <f t="array" ref="NA55">IF(NC$61&gt;=$MH55,SMALL(IF($KE$338:$LY$338&gt;0,$KE$339:$LY$339,""),$MH55),"")</f>
        <v/>
      </c>
      <c r="NB55" s="19" t="str">
        <f t="shared" si="23"/>
        <v/>
      </c>
      <c r="NC55" s="20" t="str">
        <f t="shared" si="24"/>
        <v/>
      </c>
      <c r="ND55" s="14"/>
    </row>
    <row r="56" spans="1:368" x14ac:dyDescent="0.2">
      <c r="A56" s="2">
        <v>3</v>
      </c>
      <c r="B56" s="7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>
        <f t="shared" si="25"/>
        <v>0</v>
      </c>
      <c r="AP56" s="3">
        <f t="shared" si="25"/>
        <v>0</v>
      </c>
      <c r="AQ56" s="3">
        <f t="shared" si="25"/>
        <v>0</v>
      </c>
      <c r="AR56" s="3">
        <f t="shared" si="25"/>
        <v>0</v>
      </c>
      <c r="AS56" s="3">
        <f t="shared" si="25"/>
        <v>0</v>
      </c>
      <c r="AT56" s="3">
        <f t="shared" si="25"/>
        <v>0</v>
      </c>
      <c r="AU56" s="3">
        <f t="shared" si="25"/>
        <v>0</v>
      </c>
      <c r="AV56" s="3">
        <f t="shared" si="25"/>
        <v>0</v>
      </c>
      <c r="AW56" s="3">
        <f t="shared" si="25"/>
        <v>0</v>
      </c>
      <c r="AX56" s="3">
        <f t="shared" si="25"/>
        <v>0</v>
      </c>
      <c r="AY56" s="3">
        <f t="shared" si="25"/>
        <v>0</v>
      </c>
      <c r="AZ56" s="3">
        <f t="shared" si="10"/>
        <v>0</v>
      </c>
      <c r="BA56" s="3">
        <f t="shared" si="10"/>
        <v>0</v>
      </c>
      <c r="BB56" s="3">
        <f t="shared" si="10"/>
        <v>0</v>
      </c>
      <c r="BC56" s="3">
        <f t="shared" si="10"/>
        <v>0</v>
      </c>
      <c r="BD56" s="3">
        <f>BD$338</f>
        <v>0</v>
      </c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8"/>
      <c r="LZ56" s="2">
        <v>0.108871252204586</v>
      </c>
      <c r="MA56" s="1">
        <f t="shared" si="2"/>
        <v>0</v>
      </c>
      <c r="MB56" s="1">
        <v>0</v>
      </c>
      <c r="MC56" s="2">
        <v>0.10887125</v>
      </c>
      <c r="MD56" s="1">
        <f t="shared" si="3"/>
        <v>0.10887125</v>
      </c>
      <c r="ME56" s="1">
        <f t="shared" si="4"/>
        <v>0.10887125</v>
      </c>
      <c r="MH56" s="15">
        <v>9</v>
      </c>
      <c r="MI56" s="21" t="str">
        <f t="array" ref="MI56">IF(MK$61&gt;=$MH56,(SMALL(IF($B$338:$AW$338&gt;0,$B$339:$AW$339,""),$MH56)),"")</f>
        <v/>
      </c>
      <c r="MJ56" s="19" t="str">
        <f t="shared" si="11"/>
        <v/>
      </c>
      <c r="MK56" s="20" t="str">
        <f t="shared" si="12"/>
        <v/>
      </c>
      <c r="ML56" s="21" t="str">
        <f t="array" ref="ML56">IF(MN$61&gt;=$MH56,SMALL(IF($AX$338:$CS$338&gt;0,$AX$339:$CS$339,""),$MH56),"")</f>
        <v/>
      </c>
      <c r="MM56" s="19" t="str">
        <f t="shared" si="13"/>
        <v/>
      </c>
      <c r="MN56" s="20" t="str">
        <f t="shared" si="14"/>
        <v/>
      </c>
      <c r="MO56" s="21" t="str">
        <f t="array" ref="MO56">IF(MQ$61&gt;=$MH56,SMALL(IF($CT$338:$EO$338&gt;0,$CT$339:$EO$339,""),$MH56),"")</f>
        <v/>
      </c>
      <c r="MP56" s="19" t="str">
        <f t="shared" si="15"/>
        <v/>
      </c>
      <c r="MQ56" s="20" t="str">
        <f t="shared" si="16"/>
        <v/>
      </c>
      <c r="MR56" s="21" t="str">
        <f t="array" ref="MR56">IF(MT$61&gt;=$MH56,SMALL(IF($EP$338:$GK$338&gt;0,$EP$339:$GK$339,""),$MH56),"")</f>
        <v/>
      </c>
      <c r="MS56" s="19" t="str">
        <f t="shared" si="17"/>
        <v/>
      </c>
      <c r="MT56" s="20" t="str">
        <f t="shared" si="18"/>
        <v/>
      </c>
      <c r="MU56" s="21" t="str">
        <f t="array" ref="MU56">IF(MW$61&gt;=$MH56,SMALL(IF($GL$338:$IG$338&gt;0,$GL$339:$IG$339,""),$MH56),"")</f>
        <v/>
      </c>
      <c r="MV56" s="19" t="str">
        <f t="shared" si="19"/>
        <v/>
      </c>
      <c r="MW56" s="20" t="str">
        <f t="shared" si="20"/>
        <v/>
      </c>
      <c r="MX56" s="21" t="str">
        <f t="array" ref="MX56">IF(MZ$61&gt;=$MH56,SMALL(IF($IH$338:$KC$338&gt;0,$IH$339:$KC$339,""),$MH56),"")</f>
        <v/>
      </c>
      <c r="MY56" s="19" t="str">
        <f t="shared" si="21"/>
        <v/>
      </c>
      <c r="MZ56" s="20" t="str">
        <f t="shared" si="22"/>
        <v/>
      </c>
      <c r="NA56" s="22" t="str">
        <f t="array" ref="NA56">IF(NC$61&gt;=$MH56,SMALL(IF($KE$338:$LY$338&gt;0,$KE$339:$LY$339,""),$MH56),"")</f>
        <v/>
      </c>
      <c r="NB56" s="19" t="str">
        <f t="shared" si="23"/>
        <v/>
      </c>
      <c r="NC56" s="20" t="str">
        <f t="shared" si="24"/>
        <v/>
      </c>
      <c r="ND56" s="14"/>
    </row>
    <row r="57" spans="1:368" x14ac:dyDescent="0.2">
      <c r="A57" s="2">
        <v>3.5</v>
      </c>
      <c r="B57" s="7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>
        <f t="shared" si="25"/>
        <v>0</v>
      </c>
      <c r="AQ57" s="3">
        <f t="shared" si="25"/>
        <v>0</v>
      </c>
      <c r="AR57" s="3">
        <f t="shared" si="25"/>
        <v>0</v>
      </c>
      <c r="AS57" s="3">
        <f t="shared" si="25"/>
        <v>0</v>
      </c>
      <c r="AT57" s="3">
        <f t="shared" si="25"/>
        <v>0</v>
      </c>
      <c r="AU57" s="3">
        <f t="shared" si="25"/>
        <v>0</v>
      </c>
      <c r="AV57" s="3">
        <f t="shared" si="25"/>
        <v>0</v>
      </c>
      <c r="AW57" s="3">
        <f t="shared" si="25"/>
        <v>0</v>
      </c>
      <c r="AX57" s="3">
        <f t="shared" si="25"/>
        <v>0</v>
      </c>
      <c r="AY57" s="3">
        <f t="shared" si="25"/>
        <v>0</v>
      </c>
      <c r="AZ57" s="3">
        <f t="shared" si="10"/>
        <v>0</v>
      </c>
      <c r="BA57" s="3">
        <f t="shared" si="10"/>
        <v>0</v>
      </c>
      <c r="BB57" s="3">
        <f t="shared" si="10"/>
        <v>0</v>
      </c>
      <c r="BC57" s="3">
        <f t="shared" si="10"/>
        <v>0</v>
      </c>
      <c r="BD57" s="3">
        <f t="shared" si="10"/>
        <v>0</v>
      </c>
      <c r="BE57" s="3">
        <f>BE$338</f>
        <v>0</v>
      </c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8"/>
      <c r="LZ57" s="2">
        <v>0.108871252204586</v>
      </c>
      <c r="MA57" s="1">
        <f t="shared" si="2"/>
        <v>0</v>
      </c>
      <c r="MB57" s="1">
        <v>0</v>
      </c>
      <c r="MC57" s="2">
        <v>0.10887125</v>
      </c>
      <c r="MD57" s="1">
        <f t="shared" si="3"/>
        <v>0.10887125</v>
      </c>
      <c r="ME57" s="1">
        <f t="shared" si="4"/>
        <v>0.10887125</v>
      </c>
      <c r="MH57" s="15">
        <v>10</v>
      </c>
      <c r="MI57" s="21" t="str">
        <f t="array" ref="MI57">IF(MK$61&gt;=$MH57,(SMALL(IF($B$338:$AW$338&gt;0,$B$339:$AW$339,""),$MH57)),"")</f>
        <v/>
      </c>
      <c r="MJ57" s="19" t="str">
        <f t="shared" si="11"/>
        <v/>
      </c>
      <c r="MK57" s="20" t="str">
        <f t="shared" si="12"/>
        <v/>
      </c>
      <c r="ML57" s="21" t="str">
        <f t="array" ref="ML57">IF(MN$61&gt;=$MH57,SMALL(IF($AX$338:$CS$338&gt;0,$AX$339:$CS$339,""),$MH57),"")</f>
        <v/>
      </c>
      <c r="MM57" s="19" t="str">
        <f t="shared" si="13"/>
        <v/>
      </c>
      <c r="MN57" s="20" t="str">
        <f t="shared" si="14"/>
        <v/>
      </c>
      <c r="MO57" s="21" t="str">
        <f t="array" ref="MO57">IF(MQ$61&gt;=$MH57,SMALL(IF($CT$338:$EO$338&gt;0,$CT$339:$EO$339,""),$MH57),"")</f>
        <v/>
      </c>
      <c r="MP57" s="19" t="str">
        <f t="shared" si="15"/>
        <v/>
      </c>
      <c r="MQ57" s="20" t="str">
        <f t="shared" si="16"/>
        <v/>
      </c>
      <c r="MR57" s="21" t="str">
        <f t="array" ref="MR57">IF(MT$61&gt;=$MH57,SMALL(IF($EP$338:$GK$338&gt;0,$EP$339:$GK$339,""),$MH57),"")</f>
        <v/>
      </c>
      <c r="MS57" s="19" t="str">
        <f t="shared" si="17"/>
        <v/>
      </c>
      <c r="MT57" s="20" t="str">
        <f t="shared" si="18"/>
        <v/>
      </c>
      <c r="MU57" s="21" t="str">
        <f t="array" ref="MU57">IF(MW$61&gt;=$MH57,SMALL(IF($GL$338:$IG$338&gt;0,$GL$339:$IG$339,""),$MH57),"")</f>
        <v/>
      </c>
      <c r="MV57" s="19" t="str">
        <f t="shared" si="19"/>
        <v/>
      </c>
      <c r="MW57" s="20" t="str">
        <f t="shared" si="20"/>
        <v/>
      </c>
      <c r="MX57" s="21" t="str">
        <f t="array" ref="MX57">IF(MZ$61&gt;=$MH57,SMALL(IF($IH$338:$KC$338&gt;0,$IH$339:$KC$339,""),$MH57),"")</f>
        <v/>
      </c>
      <c r="MY57" s="19" t="str">
        <f t="shared" si="21"/>
        <v/>
      </c>
      <c r="MZ57" s="20" t="str">
        <f t="shared" si="22"/>
        <v/>
      </c>
      <c r="NA57" s="22" t="str">
        <f t="array" ref="NA57">IF(NC$61&gt;=$MH57,SMALL(IF($KE$338:$LY$338&gt;0,$KE$339:$LY$339,""),$MH57),"")</f>
        <v/>
      </c>
      <c r="NB57" s="19" t="str">
        <f t="shared" si="23"/>
        <v/>
      </c>
      <c r="NC57" s="20" t="str">
        <f t="shared" si="24"/>
        <v/>
      </c>
      <c r="ND57" s="14"/>
    </row>
    <row r="58" spans="1:368" x14ac:dyDescent="0.2">
      <c r="A58" s="2">
        <v>4</v>
      </c>
      <c r="B58" s="7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>
        <f t="shared" si="25"/>
        <v>0</v>
      </c>
      <c r="AR58" s="3">
        <f t="shared" si="25"/>
        <v>0</v>
      </c>
      <c r="AS58" s="3">
        <f t="shared" si="25"/>
        <v>0</v>
      </c>
      <c r="AT58" s="3">
        <f t="shared" si="25"/>
        <v>0</v>
      </c>
      <c r="AU58" s="3">
        <f t="shared" si="25"/>
        <v>0</v>
      </c>
      <c r="AV58" s="3">
        <f t="shared" si="25"/>
        <v>0</v>
      </c>
      <c r="AW58" s="3">
        <f t="shared" si="25"/>
        <v>0</v>
      </c>
      <c r="AX58" s="3">
        <f t="shared" si="25"/>
        <v>0</v>
      </c>
      <c r="AY58" s="3">
        <f t="shared" si="25"/>
        <v>0</v>
      </c>
      <c r="AZ58" s="3">
        <f t="shared" si="10"/>
        <v>0</v>
      </c>
      <c r="BA58" s="3">
        <f t="shared" si="10"/>
        <v>0</v>
      </c>
      <c r="BB58" s="3">
        <f t="shared" si="10"/>
        <v>0</v>
      </c>
      <c r="BC58" s="3">
        <f t="shared" si="10"/>
        <v>0</v>
      </c>
      <c r="BD58" s="3">
        <f t="shared" si="10"/>
        <v>0</v>
      </c>
      <c r="BE58" s="3">
        <f t="shared" si="10"/>
        <v>0</v>
      </c>
      <c r="BF58" s="3">
        <f>BF$338</f>
        <v>0</v>
      </c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8"/>
      <c r="LZ58" s="2">
        <v>9.7195767195767196E-2</v>
      </c>
      <c r="MA58" s="1">
        <f t="shared" si="2"/>
        <v>0</v>
      </c>
      <c r="MB58" s="1">
        <v>0</v>
      </c>
      <c r="MC58" s="2">
        <v>9.7195767000000002E-2</v>
      </c>
      <c r="MD58" s="1">
        <f t="shared" si="3"/>
        <v>9.7195767000000002E-2</v>
      </c>
      <c r="ME58" s="1">
        <f t="shared" si="4"/>
        <v>9.7195767000000002E-2</v>
      </c>
      <c r="MH58" s="15">
        <v>11</v>
      </c>
      <c r="MI58" s="21" t="str">
        <f t="array" ref="MI58">IF(MK$61&gt;=$MH58,(SMALL(IF($B$338:$AW$338&gt;0,$B$339:$AW$339,""),$MH58)),"")</f>
        <v/>
      </c>
      <c r="MJ58" s="19" t="str">
        <f t="shared" si="11"/>
        <v/>
      </c>
      <c r="MK58" s="20" t="str">
        <f t="shared" si="12"/>
        <v/>
      </c>
      <c r="ML58" s="21" t="str">
        <f t="array" ref="ML58">IF(MN$61&gt;=$MH58,SMALL(IF($AX$338:$CS$338&gt;0,$AX$339:$CS$339,""),$MH58),"")</f>
        <v/>
      </c>
      <c r="MM58" s="19" t="str">
        <f t="shared" si="13"/>
        <v/>
      </c>
      <c r="MN58" s="20" t="str">
        <f t="shared" si="14"/>
        <v/>
      </c>
      <c r="MO58" s="21" t="str">
        <f t="array" ref="MO58">IF(MQ$61&gt;=$MH58,SMALL(IF($CT$338:$EO$338&gt;0,$CT$339:$EO$339,""),$MH58),"")</f>
        <v/>
      </c>
      <c r="MP58" s="19" t="str">
        <f t="shared" si="15"/>
        <v/>
      </c>
      <c r="MQ58" s="20" t="str">
        <f t="shared" si="16"/>
        <v/>
      </c>
      <c r="MR58" s="21" t="str">
        <f t="array" ref="MR58">IF(MT$61&gt;=$MH58,SMALL(IF($EP$338:$GK$338&gt;0,$EP$339:$GK$339,""),$MH58),"")</f>
        <v/>
      </c>
      <c r="MS58" s="19" t="str">
        <f t="shared" si="17"/>
        <v/>
      </c>
      <c r="MT58" s="20" t="str">
        <f t="shared" si="18"/>
        <v/>
      </c>
      <c r="MU58" s="21" t="str">
        <f t="array" ref="MU58">IF(MW$61&gt;=$MH58,SMALL(IF($GL$338:$IG$338&gt;0,$GL$339:$IG$339,""),$MH58),"")</f>
        <v/>
      </c>
      <c r="MV58" s="19" t="str">
        <f t="shared" si="19"/>
        <v/>
      </c>
      <c r="MW58" s="20" t="str">
        <f t="shared" si="20"/>
        <v/>
      </c>
      <c r="MX58" s="21" t="str">
        <f t="array" ref="MX58">IF(MZ$61&gt;=$MH58,SMALL(IF($IH$338:$KC$338&gt;0,$IH$339:$KC$339,""),$MH58),"")</f>
        <v/>
      </c>
      <c r="MY58" s="19" t="str">
        <f t="shared" si="21"/>
        <v/>
      </c>
      <c r="MZ58" s="20" t="str">
        <f t="shared" si="22"/>
        <v/>
      </c>
      <c r="NA58" s="22" t="str">
        <f t="array" ref="NA58">IF(NC$61&gt;=$MH58,SMALL(IF($KE$338:$LY$338&gt;0,$KE$339:$LY$339,""),$MH58),"")</f>
        <v/>
      </c>
      <c r="NB58" s="19" t="str">
        <f t="shared" si="23"/>
        <v/>
      </c>
      <c r="NC58" s="20" t="str">
        <f t="shared" si="24"/>
        <v/>
      </c>
      <c r="ND58" s="14"/>
    </row>
    <row r="59" spans="1:368" x14ac:dyDescent="0.2">
      <c r="A59" s="2">
        <v>4.5</v>
      </c>
      <c r="B59" s="7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>
        <f t="shared" si="25"/>
        <v>0</v>
      </c>
      <c r="AS59" s="3">
        <f t="shared" si="25"/>
        <v>0</v>
      </c>
      <c r="AT59" s="3">
        <f t="shared" si="25"/>
        <v>0</v>
      </c>
      <c r="AU59" s="3">
        <f t="shared" si="25"/>
        <v>0</v>
      </c>
      <c r="AV59" s="3">
        <f t="shared" si="25"/>
        <v>0</v>
      </c>
      <c r="AW59" s="3">
        <f t="shared" si="25"/>
        <v>0</v>
      </c>
      <c r="AX59" s="3">
        <f t="shared" si="25"/>
        <v>0</v>
      </c>
      <c r="AY59" s="3">
        <f t="shared" si="25"/>
        <v>0</v>
      </c>
      <c r="AZ59" s="3">
        <f t="shared" si="10"/>
        <v>0</v>
      </c>
      <c r="BA59" s="3">
        <f t="shared" si="10"/>
        <v>0</v>
      </c>
      <c r="BB59" s="3">
        <f t="shared" si="10"/>
        <v>0</v>
      </c>
      <c r="BC59" s="3">
        <f t="shared" si="10"/>
        <v>0</v>
      </c>
      <c r="BD59" s="3">
        <f t="shared" si="10"/>
        <v>0</v>
      </c>
      <c r="BE59" s="3">
        <f t="shared" si="10"/>
        <v>0</v>
      </c>
      <c r="BF59" s="3">
        <f t="shared" si="10"/>
        <v>0</v>
      </c>
      <c r="BG59" s="3">
        <f>BG$338</f>
        <v>0</v>
      </c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8"/>
      <c r="LZ59" s="2">
        <v>9.7195767195767196E-2</v>
      </c>
      <c r="MA59" s="1">
        <f t="shared" si="2"/>
        <v>0</v>
      </c>
      <c r="MB59" s="1">
        <v>0</v>
      </c>
      <c r="MC59" s="2">
        <v>9.7195767000000002E-2</v>
      </c>
      <c r="MD59" s="1">
        <f t="shared" si="3"/>
        <v>9.7195767000000002E-2</v>
      </c>
      <c r="ME59" s="1">
        <f t="shared" si="4"/>
        <v>9.7195767000000002E-2</v>
      </c>
      <c r="MH59" s="15">
        <v>12</v>
      </c>
      <c r="MI59" s="21" t="str">
        <f t="array" ref="MI59">IF(MK$61&gt;=$MH59,(SMALL(IF($B$338:$AW$338&gt;0,$B$339:$AW$339,""),$MH59)),"")</f>
        <v/>
      </c>
      <c r="MJ59" s="19" t="str">
        <f t="shared" si="11"/>
        <v/>
      </c>
      <c r="MK59" s="20" t="str">
        <f t="shared" si="12"/>
        <v/>
      </c>
      <c r="ML59" s="21" t="str">
        <f t="array" ref="ML59">IF(MN$61&gt;=$MH59,SMALL(IF($AX$338:$CS$338&gt;0,$AX$339:$CS$339,""),$MH59),"")</f>
        <v/>
      </c>
      <c r="MM59" s="19" t="str">
        <f t="shared" si="13"/>
        <v/>
      </c>
      <c r="MN59" s="20" t="str">
        <f t="shared" si="14"/>
        <v/>
      </c>
      <c r="MO59" s="21" t="str">
        <f t="array" ref="MO59">IF(MQ$61&gt;=$MH59,SMALL(IF($CT$338:$EO$338&gt;0,$CT$339:$EO$339,""),$MH59),"")</f>
        <v/>
      </c>
      <c r="MP59" s="19" t="str">
        <f t="shared" si="15"/>
        <v/>
      </c>
      <c r="MQ59" s="20" t="str">
        <f t="shared" si="16"/>
        <v/>
      </c>
      <c r="MR59" s="21" t="str">
        <f t="array" ref="MR59">IF(MT$61&gt;=$MH59,SMALL(IF($EP$338:$GK$338&gt;0,$EP$339:$GK$339,""),$MH59),"")</f>
        <v/>
      </c>
      <c r="MS59" s="19" t="str">
        <f t="shared" si="17"/>
        <v/>
      </c>
      <c r="MT59" s="20" t="str">
        <f t="shared" si="18"/>
        <v/>
      </c>
      <c r="MU59" s="21" t="str">
        <f t="array" ref="MU59">IF(MW$61&gt;=$MH59,SMALL(IF($GL$338:$IG$338&gt;0,$GL$339:$IG$339,""),$MH59),"")</f>
        <v/>
      </c>
      <c r="MV59" s="19" t="str">
        <f t="shared" si="19"/>
        <v/>
      </c>
      <c r="MW59" s="20" t="str">
        <f t="shared" si="20"/>
        <v/>
      </c>
      <c r="MX59" s="21" t="str">
        <f t="array" ref="MX59">IF(MZ$61&gt;=$MH59,SMALL(IF($IH$338:$KC$338&gt;0,$IH$339:$KC$339,""),$MH59),"")</f>
        <v/>
      </c>
      <c r="MY59" s="19" t="str">
        <f t="shared" si="21"/>
        <v/>
      </c>
      <c r="MZ59" s="20" t="str">
        <f t="shared" si="22"/>
        <v/>
      </c>
      <c r="NA59" s="22" t="str">
        <f t="array" ref="NA59">IF(NC$61&gt;=$MH59,SMALL(IF($KE$338:$LY$338&gt;0,$KE$339:$LY$339,""),$MH59),"")</f>
        <v/>
      </c>
      <c r="NB59" s="19" t="str">
        <f t="shared" si="23"/>
        <v/>
      </c>
      <c r="NC59" s="20" t="str">
        <f t="shared" si="24"/>
        <v/>
      </c>
      <c r="ND59" s="14"/>
    </row>
    <row r="60" spans="1:368" x14ac:dyDescent="0.2">
      <c r="A60" s="2">
        <v>5</v>
      </c>
      <c r="B60" s="7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>
        <f t="shared" si="25"/>
        <v>0</v>
      </c>
      <c r="AT60" s="3">
        <f t="shared" si="25"/>
        <v>0</v>
      </c>
      <c r="AU60" s="3">
        <f t="shared" si="25"/>
        <v>0</v>
      </c>
      <c r="AV60" s="3">
        <f t="shared" si="25"/>
        <v>0</v>
      </c>
      <c r="AW60" s="3">
        <f t="shared" si="25"/>
        <v>0</v>
      </c>
      <c r="AX60" s="3">
        <f t="shared" si="25"/>
        <v>0</v>
      </c>
      <c r="AY60" s="3">
        <f t="shared" si="25"/>
        <v>0</v>
      </c>
      <c r="AZ60" s="3">
        <f t="shared" si="10"/>
        <v>0</v>
      </c>
      <c r="BA60" s="3">
        <f t="shared" si="10"/>
        <v>0</v>
      </c>
      <c r="BB60" s="3">
        <f t="shared" si="10"/>
        <v>0</v>
      </c>
      <c r="BC60" s="3">
        <f t="shared" si="10"/>
        <v>0</v>
      </c>
      <c r="BD60" s="3">
        <f t="shared" si="10"/>
        <v>0</v>
      </c>
      <c r="BE60" s="3">
        <f t="shared" si="10"/>
        <v>0</v>
      </c>
      <c r="BF60" s="3">
        <f t="shared" si="10"/>
        <v>0</v>
      </c>
      <c r="BG60" s="3">
        <f t="shared" si="10"/>
        <v>0</v>
      </c>
      <c r="BH60" s="3">
        <f>BH$338</f>
        <v>0</v>
      </c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8"/>
      <c r="LZ60" s="2">
        <v>0.08</v>
      </c>
      <c r="MA60" s="1">
        <f t="shared" si="2"/>
        <v>0</v>
      </c>
      <c r="MB60" s="1">
        <v>0</v>
      </c>
      <c r="MC60" s="2">
        <v>0.08</v>
      </c>
      <c r="MD60" s="1">
        <f t="shared" si="3"/>
        <v>0.08</v>
      </c>
      <c r="ME60" s="1">
        <f t="shared" si="4"/>
        <v>0.08</v>
      </c>
      <c r="MH60" s="14"/>
      <c r="MI60" s="14"/>
      <c r="MJ60" s="14"/>
      <c r="MK60" s="14"/>
      <c r="ML60" s="14"/>
      <c r="MM60" s="14"/>
      <c r="MN60" s="14"/>
      <c r="MO60" s="14"/>
      <c r="MP60" s="14"/>
      <c r="MQ60" s="14"/>
      <c r="MR60" s="14"/>
      <c r="MS60" s="14"/>
      <c r="MT60" s="14"/>
      <c r="MU60" s="14"/>
      <c r="MV60" s="14"/>
      <c r="MW60" s="14"/>
      <c r="MX60" s="14"/>
      <c r="MY60" s="14"/>
      <c r="MZ60" s="14"/>
      <c r="NA60" s="14"/>
      <c r="NB60" s="14"/>
      <c r="NC60" s="14"/>
      <c r="ND60" s="14"/>
    </row>
    <row r="61" spans="1:368" x14ac:dyDescent="0.2">
      <c r="A61" s="2">
        <v>5.5</v>
      </c>
      <c r="B61" s="7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>
        <f t="shared" si="25"/>
        <v>0</v>
      </c>
      <c r="AU61" s="3">
        <f t="shared" si="25"/>
        <v>0</v>
      </c>
      <c r="AV61" s="3">
        <f t="shared" si="25"/>
        <v>0</v>
      </c>
      <c r="AW61" s="3">
        <f t="shared" si="25"/>
        <v>0</v>
      </c>
      <c r="AX61" s="3">
        <f t="shared" si="25"/>
        <v>0</v>
      </c>
      <c r="AY61" s="3">
        <f t="shared" si="25"/>
        <v>0</v>
      </c>
      <c r="AZ61" s="3">
        <f t="shared" si="10"/>
        <v>0</v>
      </c>
      <c r="BA61" s="3">
        <f t="shared" si="10"/>
        <v>0</v>
      </c>
      <c r="BB61" s="3">
        <f t="shared" si="10"/>
        <v>0</v>
      </c>
      <c r="BC61" s="3">
        <f t="shared" si="10"/>
        <v>0</v>
      </c>
      <c r="BD61" s="3">
        <f t="shared" si="10"/>
        <v>0</v>
      </c>
      <c r="BE61" s="3">
        <f t="shared" si="10"/>
        <v>0</v>
      </c>
      <c r="BF61" s="3">
        <f t="shared" si="10"/>
        <v>0</v>
      </c>
      <c r="BG61" s="3">
        <f t="shared" si="10"/>
        <v>0</v>
      </c>
      <c r="BH61" s="3">
        <f t="shared" si="10"/>
        <v>0</v>
      </c>
      <c r="BI61" s="3">
        <f>BI$338</f>
        <v>0</v>
      </c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8"/>
      <c r="LZ61" s="2">
        <v>0.08</v>
      </c>
      <c r="MA61" s="1">
        <f t="shared" si="2"/>
        <v>0</v>
      </c>
      <c r="MB61" s="1">
        <v>0</v>
      </c>
      <c r="MC61" s="2">
        <v>0.08</v>
      </c>
      <c r="MD61" s="1">
        <f t="shared" si="3"/>
        <v>0.08</v>
      </c>
      <c r="ME61" s="1">
        <f t="shared" si="4"/>
        <v>0.08</v>
      </c>
      <c r="MH61" s="14"/>
      <c r="MI61" s="14"/>
      <c r="MJ61" s="14"/>
      <c r="MK61" s="14">
        <f>SUMIF($B$340:$LY$340,"=1",$B$341:$LY$341)</f>
        <v>1</v>
      </c>
      <c r="ML61" s="14"/>
      <c r="MM61" s="14"/>
      <c r="MN61" s="14">
        <f>SUMIF($B$340:$LY$340,"=2",$B$341:$LY$341)</f>
        <v>1</v>
      </c>
      <c r="MO61" s="14"/>
      <c r="MP61" s="14"/>
      <c r="MQ61" s="14">
        <f>SUMIF($B$340:$LY$340,"=3",$B$341:$LY$341)</f>
        <v>1</v>
      </c>
      <c r="MR61" s="14"/>
      <c r="MS61" s="14"/>
      <c r="MT61" s="14">
        <f>SUMIF($B$340:$LY$340,"=4",$B$341:$LY$341)</f>
        <v>1</v>
      </c>
      <c r="MU61" s="14"/>
      <c r="MV61" s="14"/>
      <c r="MW61" s="14">
        <f>SUMIF($B$340:$LY$340,"=5",$B$341:$LY$341)</f>
        <v>1</v>
      </c>
      <c r="MX61" s="14"/>
      <c r="MY61" s="14"/>
      <c r="MZ61" s="14">
        <f>SUMIF($B$340:$LY$340,"=6",$B$341:$LY$341)</f>
        <v>1</v>
      </c>
      <c r="NA61" s="14"/>
      <c r="NB61" s="14"/>
      <c r="NC61" s="14">
        <f>SUMIF($B$340:$LY$340,"=7",$B$341:$LY$341)</f>
        <v>1</v>
      </c>
      <c r="ND61" s="14">
        <f>SUM(B341:LY341)</f>
        <v>7</v>
      </c>
    </row>
    <row r="62" spans="1:368" x14ac:dyDescent="0.2">
      <c r="A62" s="2">
        <v>6</v>
      </c>
      <c r="B62" s="7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>
        <f t="shared" si="25"/>
        <v>0</v>
      </c>
      <c r="AV62" s="3">
        <f t="shared" si="25"/>
        <v>0</v>
      </c>
      <c r="AW62" s="3">
        <f t="shared" si="25"/>
        <v>0</v>
      </c>
      <c r="AX62" s="3">
        <f t="shared" si="25"/>
        <v>0</v>
      </c>
      <c r="AY62" s="3">
        <f t="shared" si="25"/>
        <v>0</v>
      </c>
      <c r="AZ62" s="3">
        <f t="shared" si="10"/>
        <v>0</v>
      </c>
      <c r="BA62" s="3">
        <f t="shared" si="10"/>
        <v>0</v>
      </c>
      <c r="BB62" s="3">
        <f t="shared" si="10"/>
        <v>0</v>
      </c>
      <c r="BC62" s="3">
        <f t="shared" si="10"/>
        <v>0</v>
      </c>
      <c r="BD62" s="3">
        <f t="shared" si="10"/>
        <v>0</v>
      </c>
      <c r="BE62" s="3">
        <f t="shared" si="10"/>
        <v>0</v>
      </c>
      <c r="BF62" s="3">
        <f t="shared" si="10"/>
        <v>0</v>
      </c>
      <c r="BG62" s="3">
        <f t="shared" si="10"/>
        <v>0</v>
      </c>
      <c r="BH62" s="3">
        <f t="shared" si="10"/>
        <v>0</v>
      </c>
      <c r="BI62" s="3">
        <f t="shared" si="10"/>
        <v>0</v>
      </c>
      <c r="BJ62" s="3">
        <f>BJ$338</f>
        <v>0</v>
      </c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8"/>
      <c r="LZ62" s="2">
        <v>7.7248677248677206E-2</v>
      </c>
      <c r="MA62" s="1">
        <f t="shared" si="2"/>
        <v>0</v>
      </c>
      <c r="MB62" s="1">
        <v>0</v>
      </c>
      <c r="MC62" s="2">
        <v>7.7248677000000002E-2</v>
      </c>
      <c r="MD62" s="1">
        <f t="shared" si="3"/>
        <v>7.7248677000000002E-2</v>
      </c>
      <c r="ME62" s="1">
        <f t="shared" si="4"/>
        <v>7.7248677000000002E-2</v>
      </c>
      <c r="MK62" s="13"/>
    </row>
    <row r="63" spans="1:368" x14ac:dyDescent="0.2">
      <c r="A63" s="2">
        <v>6.5</v>
      </c>
      <c r="B63" s="7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>
        <f t="shared" si="25"/>
        <v>0</v>
      </c>
      <c r="AW63" s="3">
        <f t="shared" si="25"/>
        <v>0</v>
      </c>
      <c r="AX63" s="3">
        <f t="shared" si="25"/>
        <v>0</v>
      </c>
      <c r="AY63" s="3">
        <f t="shared" si="25"/>
        <v>0</v>
      </c>
      <c r="AZ63" s="3">
        <f t="shared" si="25"/>
        <v>0</v>
      </c>
      <c r="BA63" s="3">
        <f t="shared" si="10"/>
        <v>0</v>
      </c>
      <c r="BB63" s="3">
        <f t="shared" si="10"/>
        <v>0</v>
      </c>
      <c r="BC63" s="3">
        <f t="shared" si="10"/>
        <v>0</v>
      </c>
      <c r="BD63" s="3">
        <f t="shared" si="10"/>
        <v>0</v>
      </c>
      <c r="BE63" s="3">
        <f t="shared" si="10"/>
        <v>0</v>
      </c>
      <c r="BF63" s="3">
        <f t="shared" si="10"/>
        <v>0</v>
      </c>
      <c r="BG63" s="3">
        <f t="shared" si="10"/>
        <v>0</v>
      </c>
      <c r="BH63" s="3">
        <f t="shared" si="10"/>
        <v>0</v>
      </c>
      <c r="BI63" s="3">
        <f t="shared" si="10"/>
        <v>0</v>
      </c>
      <c r="BJ63" s="3">
        <f t="shared" si="10"/>
        <v>0</v>
      </c>
      <c r="BK63" s="3">
        <f>BK$338</f>
        <v>0</v>
      </c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8"/>
      <c r="LZ63" s="2">
        <v>7.7248677248677206E-2</v>
      </c>
      <c r="MA63" s="1">
        <f t="shared" si="2"/>
        <v>0</v>
      </c>
      <c r="MB63" s="1">
        <v>0</v>
      </c>
      <c r="MC63" s="2">
        <v>7.7248677000000002E-2</v>
      </c>
      <c r="MD63" s="1">
        <f t="shared" si="3"/>
        <v>7.7248677000000002E-2</v>
      </c>
      <c r="ME63" s="1">
        <f t="shared" si="4"/>
        <v>7.7248677000000002E-2</v>
      </c>
      <c r="MK63" s="14"/>
    </row>
    <row r="64" spans="1:368" x14ac:dyDescent="0.2">
      <c r="A64" s="2">
        <v>7</v>
      </c>
      <c r="B64" s="7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>
        <f t="shared" si="25"/>
        <v>0</v>
      </c>
      <c r="AX64" s="3">
        <f t="shared" si="25"/>
        <v>0</v>
      </c>
      <c r="AY64" s="3">
        <f t="shared" si="25"/>
        <v>0</v>
      </c>
      <c r="AZ64" s="3">
        <f t="shared" si="25"/>
        <v>0</v>
      </c>
      <c r="BA64" s="3">
        <f t="shared" si="25"/>
        <v>0</v>
      </c>
      <c r="BB64" s="3">
        <f t="shared" si="10"/>
        <v>0</v>
      </c>
      <c r="BC64" s="3">
        <f t="shared" si="10"/>
        <v>0</v>
      </c>
      <c r="BD64" s="3">
        <f t="shared" si="10"/>
        <v>0</v>
      </c>
      <c r="BE64" s="3">
        <f t="shared" si="10"/>
        <v>0</v>
      </c>
      <c r="BF64" s="3">
        <f t="shared" si="10"/>
        <v>0</v>
      </c>
      <c r="BG64" s="3">
        <f t="shared" si="10"/>
        <v>0</v>
      </c>
      <c r="BH64" s="3">
        <f t="shared" si="10"/>
        <v>0</v>
      </c>
      <c r="BI64" s="3">
        <f t="shared" si="10"/>
        <v>0</v>
      </c>
      <c r="BJ64" s="3">
        <f t="shared" si="10"/>
        <v>0</v>
      </c>
      <c r="BK64" s="3">
        <f t="shared" si="10"/>
        <v>0</v>
      </c>
      <c r="BL64" s="3">
        <f>BL$338</f>
        <v>0</v>
      </c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8"/>
      <c r="LZ64" s="2">
        <v>9.1393298059964698E-2</v>
      </c>
      <c r="MA64" s="1">
        <f t="shared" si="2"/>
        <v>0</v>
      </c>
      <c r="MB64" s="1">
        <v>0</v>
      </c>
      <c r="MC64" s="2">
        <v>9.1393297999999998E-2</v>
      </c>
      <c r="MD64" s="1">
        <f t="shared" si="3"/>
        <v>9.1393297999999998E-2</v>
      </c>
      <c r="ME64" s="1">
        <f t="shared" si="4"/>
        <v>9.1393297999999998E-2</v>
      </c>
    </row>
    <row r="65" spans="1:343" x14ac:dyDescent="0.2">
      <c r="A65" s="2">
        <v>7.5</v>
      </c>
      <c r="B65" s="7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>
        <f t="shared" si="25"/>
        <v>0</v>
      </c>
      <c r="AY65" s="3">
        <f t="shared" si="25"/>
        <v>0</v>
      </c>
      <c r="AZ65" s="3">
        <f t="shared" si="25"/>
        <v>0</v>
      </c>
      <c r="BA65" s="3">
        <f t="shared" si="25"/>
        <v>0</v>
      </c>
      <c r="BB65" s="3">
        <f t="shared" si="25"/>
        <v>0</v>
      </c>
      <c r="BC65" s="3">
        <f t="shared" si="10"/>
        <v>0</v>
      </c>
      <c r="BD65" s="3">
        <f t="shared" si="10"/>
        <v>0</v>
      </c>
      <c r="BE65" s="3">
        <f t="shared" si="10"/>
        <v>0</v>
      </c>
      <c r="BF65" s="3">
        <f t="shared" si="10"/>
        <v>0</v>
      </c>
      <c r="BG65" s="3">
        <f t="shared" si="10"/>
        <v>0</v>
      </c>
      <c r="BH65" s="3">
        <f t="shared" si="10"/>
        <v>0</v>
      </c>
      <c r="BI65" s="3">
        <f t="shared" si="10"/>
        <v>0</v>
      </c>
      <c r="BJ65" s="3">
        <f t="shared" si="10"/>
        <v>0</v>
      </c>
      <c r="BK65" s="3">
        <f t="shared" si="10"/>
        <v>0</v>
      </c>
      <c r="BL65" s="3">
        <f t="shared" si="10"/>
        <v>0</v>
      </c>
      <c r="BM65" s="3">
        <f>BM$338</f>
        <v>0</v>
      </c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8"/>
      <c r="LZ65" s="2">
        <v>9.1393298059964698E-2</v>
      </c>
      <c r="MA65" s="1">
        <f t="shared" si="2"/>
        <v>0</v>
      </c>
      <c r="MB65" s="1">
        <v>0</v>
      </c>
      <c r="MC65" s="2">
        <v>9.1393297999999998E-2</v>
      </c>
      <c r="MD65" s="1">
        <f t="shared" si="3"/>
        <v>9.1393297999999998E-2</v>
      </c>
      <c r="ME65" s="1">
        <f t="shared" si="4"/>
        <v>9.1393297999999998E-2</v>
      </c>
    </row>
    <row r="66" spans="1:343" x14ac:dyDescent="0.2">
      <c r="A66" s="2">
        <v>8</v>
      </c>
      <c r="B66" s="7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>
        <f t="shared" si="25"/>
        <v>0</v>
      </c>
      <c r="AZ66" s="3">
        <f t="shared" si="25"/>
        <v>0</v>
      </c>
      <c r="BA66" s="3">
        <f t="shared" si="25"/>
        <v>0</v>
      </c>
      <c r="BB66" s="3">
        <f t="shared" si="25"/>
        <v>0</v>
      </c>
      <c r="BC66" s="3">
        <f t="shared" si="25"/>
        <v>0</v>
      </c>
      <c r="BD66" s="3">
        <f t="shared" si="10"/>
        <v>0</v>
      </c>
      <c r="BE66" s="3">
        <f t="shared" si="10"/>
        <v>0</v>
      </c>
      <c r="BF66" s="3">
        <f t="shared" si="10"/>
        <v>0</v>
      </c>
      <c r="BG66" s="3">
        <f t="shared" si="10"/>
        <v>0</v>
      </c>
      <c r="BH66" s="3">
        <f t="shared" si="10"/>
        <v>0</v>
      </c>
      <c r="BI66" s="3">
        <f t="shared" si="10"/>
        <v>0</v>
      </c>
      <c r="BJ66" s="3">
        <f t="shared" si="10"/>
        <v>0</v>
      </c>
      <c r="BK66" s="3">
        <f t="shared" si="10"/>
        <v>0</v>
      </c>
      <c r="BL66" s="3">
        <f t="shared" si="10"/>
        <v>0</v>
      </c>
      <c r="BM66" s="3">
        <f t="shared" si="10"/>
        <v>0</v>
      </c>
      <c r="BN66" s="3">
        <f>BN$338</f>
        <v>0</v>
      </c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8"/>
      <c r="LZ66" s="2">
        <v>0.12858906525573199</v>
      </c>
      <c r="MA66" s="1">
        <f t="shared" si="2"/>
        <v>0</v>
      </c>
      <c r="MB66" s="1">
        <v>0</v>
      </c>
      <c r="MC66" s="2">
        <v>0.12858907</v>
      </c>
      <c r="MD66" s="1">
        <f t="shared" si="3"/>
        <v>0.12858907</v>
      </c>
      <c r="ME66" s="1">
        <f t="shared" si="4"/>
        <v>0.12858907</v>
      </c>
    </row>
    <row r="67" spans="1:343" x14ac:dyDescent="0.2">
      <c r="A67" s="2">
        <v>8.5</v>
      </c>
      <c r="B67" s="7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>
        <f t="shared" si="25"/>
        <v>0</v>
      </c>
      <c r="BA67" s="3">
        <f t="shared" si="25"/>
        <v>0</v>
      </c>
      <c r="BB67" s="3">
        <f t="shared" si="25"/>
        <v>0</v>
      </c>
      <c r="BC67" s="3">
        <f t="shared" si="25"/>
        <v>0</v>
      </c>
      <c r="BD67" s="3">
        <f t="shared" si="25"/>
        <v>0</v>
      </c>
      <c r="BE67" s="3">
        <f t="shared" si="10"/>
        <v>0</v>
      </c>
      <c r="BF67" s="3">
        <f t="shared" si="10"/>
        <v>0</v>
      </c>
      <c r="BG67" s="3">
        <f t="shared" si="10"/>
        <v>0</v>
      </c>
      <c r="BH67" s="3">
        <f t="shared" si="10"/>
        <v>0</v>
      </c>
      <c r="BI67" s="3">
        <f t="shared" si="10"/>
        <v>0</v>
      </c>
      <c r="BJ67" s="3">
        <f t="shared" si="10"/>
        <v>0</v>
      </c>
      <c r="BK67" s="3">
        <f t="shared" si="10"/>
        <v>0</v>
      </c>
      <c r="BL67" s="3">
        <f t="shared" si="10"/>
        <v>0</v>
      </c>
      <c r="BM67" s="3">
        <f t="shared" si="10"/>
        <v>0</v>
      </c>
      <c r="BN67" s="3">
        <f t="shared" ref="BN67:CK90" si="26">BN$338</f>
        <v>0</v>
      </c>
      <c r="BO67" s="3">
        <f>BO$338</f>
        <v>0</v>
      </c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8"/>
      <c r="LZ67" s="2">
        <v>0.12858906525573199</v>
      </c>
      <c r="MA67" s="1">
        <f t="shared" ref="MA67:MA130" si="27">SUM(B67:LY67)</f>
        <v>0</v>
      </c>
      <c r="MB67" s="1">
        <v>0</v>
      </c>
      <c r="MC67" s="2">
        <v>0.12858907</v>
      </c>
      <c r="MD67" s="1">
        <f t="shared" ref="MD67:MD130" si="28">MC67-MB67+MA67</f>
        <v>0.12858907</v>
      </c>
      <c r="ME67" s="1">
        <f t="shared" ref="ME67:ME130" si="29">MC67+MB67</f>
        <v>0.12858907</v>
      </c>
    </row>
    <row r="68" spans="1:343" x14ac:dyDescent="0.2">
      <c r="A68" s="2">
        <v>9</v>
      </c>
      <c r="B68" s="7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>
        <f t="shared" si="25"/>
        <v>0</v>
      </c>
      <c r="BB68" s="3">
        <f t="shared" si="25"/>
        <v>0</v>
      </c>
      <c r="BC68" s="3">
        <f t="shared" si="25"/>
        <v>0</v>
      </c>
      <c r="BD68" s="3">
        <f t="shared" si="25"/>
        <v>0</v>
      </c>
      <c r="BE68" s="3">
        <f t="shared" si="25"/>
        <v>0</v>
      </c>
      <c r="BF68" s="3">
        <f t="shared" si="10"/>
        <v>0</v>
      </c>
      <c r="BG68" s="3">
        <f t="shared" si="10"/>
        <v>0</v>
      </c>
      <c r="BH68" s="3">
        <f t="shared" si="10"/>
        <v>0</v>
      </c>
      <c r="BI68" s="3">
        <f t="shared" si="10"/>
        <v>0</v>
      </c>
      <c r="BJ68" s="3">
        <f t="shared" si="10"/>
        <v>0</v>
      </c>
      <c r="BK68" s="3">
        <f t="shared" si="10"/>
        <v>0</v>
      </c>
      <c r="BL68" s="3">
        <f t="shared" si="10"/>
        <v>0</v>
      </c>
      <c r="BM68" s="3">
        <f t="shared" si="10"/>
        <v>0</v>
      </c>
      <c r="BN68" s="3">
        <f t="shared" si="26"/>
        <v>0</v>
      </c>
      <c r="BO68" s="3">
        <f t="shared" si="26"/>
        <v>0</v>
      </c>
      <c r="BP68" s="3">
        <f>BP$338</f>
        <v>0</v>
      </c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8"/>
      <c r="LZ68" s="2">
        <v>0.17735449735449699</v>
      </c>
      <c r="MA68" s="1">
        <f t="shared" si="27"/>
        <v>0</v>
      </c>
      <c r="MB68" s="1">
        <v>0</v>
      </c>
      <c r="MC68" s="2">
        <v>0.1773545</v>
      </c>
      <c r="MD68" s="1">
        <f t="shared" si="28"/>
        <v>0.1773545</v>
      </c>
      <c r="ME68" s="1">
        <f t="shared" si="29"/>
        <v>0.1773545</v>
      </c>
    </row>
    <row r="69" spans="1:343" x14ac:dyDescent="0.2">
      <c r="A69" s="2">
        <v>9.5</v>
      </c>
      <c r="B69" s="7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>
        <f t="shared" si="25"/>
        <v>0</v>
      </c>
      <c r="BC69" s="3">
        <f t="shared" si="25"/>
        <v>0</v>
      </c>
      <c r="BD69" s="3">
        <f t="shared" si="25"/>
        <v>0</v>
      </c>
      <c r="BE69" s="3">
        <f t="shared" si="25"/>
        <v>0</v>
      </c>
      <c r="BF69" s="3">
        <f t="shared" si="25"/>
        <v>0</v>
      </c>
      <c r="BG69" s="3">
        <f t="shared" si="10"/>
        <v>0</v>
      </c>
      <c r="BH69" s="3">
        <f t="shared" si="10"/>
        <v>0</v>
      </c>
      <c r="BI69" s="3">
        <f t="shared" si="10"/>
        <v>0</v>
      </c>
      <c r="BJ69" s="3">
        <f t="shared" si="10"/>
        <v>0</v>
      </c>
      <c r="BK69" s="3">
        <f t="shared" si="10"/>
        <v>0</v>
      </c>
      <c r="BL69" s="3">
        <f t="shared" si="10"/>
        <v>0</v>
      </c>
      <c r="BM69" s="3">
        <f t="shared" si="10"/>
        <v>0</v>
      </c>
      <c r="BN69" s="3">
        <f t="shared" si="26"/>
        <v>0</v>
      </c>
      <c r="BO69" s="3">
        <f t="shared" si="26"/>
        <v>0</v>
      </c>
      <c r="BP69" s="3">
        <f t="shared" si="26"/>
        <v>0</v>
      </c>
      <c r="BQ69" s="3">
        <f>BQ$338</f>
        <v>0</v>
      </c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8"/>
      <c r="LZ69" s="2">
        <v>0.17735449735449699</v>
      </c>
      <c r="MA69" s="1">
        <f t="shared" si="27"/>
        <v>0</v>
      </c>
      <c r="MB69" s="1">
        <v>0</v>
      </c>
      <c r="MC69" s="2">
        <v>0.1773545</v>
      </c>
      <c r="MD69" s="1">
        <f t="shared" si="28"/>
        <v>0.1773545</v>
      </c>
      <c r="ME69" s="1">
        <f t="shared" si="29"/>
        <v>0.1773545</v>
      </c>
    </row>
    <row r="70" spans="1:343" x14ac:dyDescent="0.2">
      <c r="A70" s="2">
        <v>10</v>
      </c>
      <c r="B70" s="7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>
        <f t="shared" si="25"/>
        <v>0</v>
      </c>
      <c r="BD70" s="3">
        <f t="shared" si="25"/>
        <v>0</v>
      </c>
      <c r="BE70" s="3">
        <f t="shared" si="25"/>
        <v>0</v>
      </c>
      <c r="BF70" s="3">
        <f t="shared" si="25"/>
        <v>0</v>
      </c>
      <c r="BG70" s="3">
        <f t="shared" si="25"/>
        <v>0</v>
      </c>
      <c r="BH70" s="3">
        <f t="shared" si="10"/>
        <v>0</v>
      </c>
      <c r="BI70" s="3">
        <f t="shared" si="10"/>
        <v>0</v>
      </c>
      <c r="BJ70" s="3">
        <f t="shared" si="10"/>
        <v>0</v>
      </c>
      <c r="BK70" s="3">
        <f t="shared" si="10"/>
        <v>0</v>
      </c>
      <c r="BL70" s="3">
        <f t="shared" si="10"/>
        <v>0</v>
      </c>
      <c r="BM70" s="3">
        <f t="shared" si="10"/>
        <v>0</v>
      </c>
      <c r="BN70" s="3">
        <f t="shared" si="26"/>
        <v>0</v>
      </c>
      <c r="BO70" s="3">
        <f t="shared" si="26"/>
        <v>0</v>
      </c>
      <c r="BP70" s="3">
        <f t="shared" si="26"/>
        <v>0</v>
      </c>
      <c r="BQ70" s="3">
        <f t="shared" si="26"/>
        <v>0</v>
      </c>
      <c r="BR70" s="3">
        <f>BR$338</f>
        <v>0</v>
      </c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8"/>
      <c r="LZ70" s="2">
        <v>0.24649029982363299</v>
      </c>
      <c r="MA70" s="1">
        <f t="shared" si="27"/>
        <v>0</v>
      </c>
      <c r="MB70" s="1">
        <v>0</v>
      </c>
      <c r="MC70" s="2">
        <v>0.2464903</v>
      </c>
      <c r="MD70" s="1">
        <f t="shared" si="28"/>
        <v>0.2464903</v>
      </c>
      <c r="ME70" s="1">
        <f t="shared" si="29"/>
        <v>0.2464903</v>
      </c>
    </row>
    <row r="71" spans="1:343" x14ac:dyDescent="0.2">
      <c r="A71" s="2">
        <v>10.5</v>
      </c>
      <c r="B71" s="7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>
        <f t="shared" si="25"/>
        <v>0</v>
      </c>
      <c r="BE71" s="3">
        <f t="shared" si="25"/>
        <v>0</v>
      </c>
      <c r="BF71" s="3">
        <f t="shared" si="25"/>
        <v>0</v>
      </c>
      <c r="BG71" s="3">
        <f t="shared" si="25"/>
        <v>0</v>
      </c>
      <c r="BH71" s="3">
        <f t="shared" si="25"/>
        <v>0</v>
      </c>
      <c r="BI71" s="3">
        <f t="shared" si="10"/>
        <v>0</v>
      </c>
      <c r="BJ71" s="3">
        <f t="shared" si="10"/>
        <v>0</v>
      </c>
      <c r="BK71" s="3">
        <f t="shared" si="10"/>
        <v>0</v>
      </c>
      <c r="BL71" s="3">
        <f t="shared" si="10"/>
        <v>0</v>
      </c>
      <c r="BM71" s="3">
        <f t="shared" si="10"/>
        <v>0</v>
      </c>
      <c r="BN71" s="3">
        <f t="shared" si="26"/>
        <v>0</v>
      </c>
      <c r="BO71" s="3">
        <f t="shared" si="26"/>
        <v>0</v>
      </c>
      <c r="BP71" s="3">
        <f t="shared" si="26"/>
        <v>0</v>
      </c>
      <c r="BQ71" s="3">
        <f t="shared" si="26"/>
        <v>0</v>
      </c>
      <c r="BR71" s="3">
        <f t="shared" si="26"/>
        <v>0</v>
      </c>
      <c r="BS71" s="3">
        <f>BS$338</f>
        <v>0</v>
      </c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8"/>
      <c r="LZ71" s="2">
        <v>0.24649029982363299</v>
      </c>
      <c r="MA71" s="1">
        <f t="shared" si="27"/>
        <v>0</v>
      </c>
      <c r="MB71" s="1">
        <v>0</v>
      </c>
      <c r="MC71" s="2">
        <v>0.2464903</v>
      </c>
      <c r="MD71" s="1">
        <f t="shared" si="28"/>
        <v>0.2464903</v>
      </c>
      <c r="ME71" s="1">
        <f t="shared" si="29"/>
        <v>0.2464903</v>
      </c>
    </row>
    <row r="72" spans="1:343" x14ac:dyDescent="0.2">
      <c r="A72" s="2">
        <v>11</v>
      </c>
      <c r="B72" s="7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>
        <f t="shared" si="25"/>
        <v>0</v>
      </c>
      <c r="BF72" s="3">
        <f t="shared" si="25"/>
        <v>0</v>
      </c>
      <c r="BG72" s="3">
        <f t="shared" si="25"/>
        <v>0</v>
      </c>
      <c r="BH72" s="3">
        <f t="shared" si="25"/>
        <v>0</v>
      </c>
      <c r="BI72" s="3">
        <f t="shared" si="25"/>
        <v>0</v>
      </c>
      <c r="BJ72" s="3">
        <f t="shared" si="10"/>
        <v>0</v>
      </c>
      <c r="BK72" s="3">
        <f t="shared" si="10"/>
        <v>0</v>
      </c>
      <c r="BL72" s="3">
        <f t="shared" si="10"/>
        <v>0</v>
      </c>
      <c r="BM72" s="3">
        <f t="shared" si="10"/>
        <v>0</v>
      </c>
      <c r="BN72" s="3">
        <f t="shared" si="26"/>
        <v>0</v>
      </c>
      <c r="BO72" s="3">
        <f t="shared" si="26"/>
        <v>0</v>
      </c>
      <c r="BP72" s="3">
        <f t="shared" si="26"/>
        <v>0</v>
      </c>
      <c r="BQ72" s="3">
        <f t="shared" si="26"/>
        <v>0</v>
      </c>
      <c r="BR72" s="3">
        <f t="shared" si="26"/>
        <v>0</v>
      </c>
      <c r="BS72" s="3">
        <f t="shared" si="26"/>
        <v>0</v>
      </c>
      <c r="BT72" s="3">
        <f>BT$338</f>
        <v>0</v>
      </c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8"/>
      <c r="LZ72" s="2">
        <v>0.32442680776014099</v>
      </c>
      <c r="MA72" s="1">
        <f t="shared" si="27"/>
        <v>0</v>
      </c>
      <c r="MB72" s="1">
        <v>0</v>
      </c>
      <c r="MC72" s="2">
        <v>0.32442681000000001</v>
      </c>
      <c r="MD72" s="1">
        <f t="shared" si="28"/>
        <v>0.32442681000000001</v>
      </c>
      <c r="ME72" s="1">
        <f t="shared" si="29"/>
        <v>0.32442681000000001</v>
      </c>
    </row>
    <row r="73" spans="1:343" x14ac:dyDescent="0.2">
      <c r="A73" s="2">
        <v>11.5</v>
      </c>
      <c r="B73" s="7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>
        <f t="shared" si="25"/>
        <v>0</v>
      </c>
      <c r="BG73" s="3">
        <f t="shared" si="25"/>
        <v>0</v>
      </c>
      <c r="BH73" s="3">
        <f t="shared" si="25"/>
        <v>0</v>
      </c>
      <c r="BI73" s="3">
        <f t="shared" si="25"/>
        <v>0</v>
      </c>
      <c r="BJ73" s="3">
        <f t="shared" si="25"/>
        <v>0</v>
      </c>
      <c r="BK73" s="3">
        <f t="shared" si="10"/>
        <v>0</v>
      </c>
      <c r="BL73" s="3">
        <f t="shared" si="10"/>
        <v>0</v>
      </c>
      <c r="BM73" s="3">
        <f t="shared" si="10"/>
        <v>0</v>
      </c>
      <c r="BN73" s="3">
        <f t="shared" si="26"/>
        <v>0</v>
      </c>
      <c r="BO73" s="3">
        <f t="shared" si="26"/>
        <v>0</v>
      </c>
      <c r="BP73" s="3">
        <f t="shared" si="26"/>
        <v>0</v>
      </c>
      <c r="BQ73" s="3">
        <f t="shared" si="26"/>
        <v>0</v>
      </c>
      <c r="BR73" s="3">
        <f t="shared" si="26"/>
        <v>0</v>
      </c>
      <c r="BS73" s="3">
        <f t="shared" si="26"/>
        <v>0</v>
      </c>
      <c r="BT73" s="3">
        <f t="shared" si="26"/>
        <v>0</v>
      </c>
      <c r="BU73" s="3">
        <f>BU$338</f>
        <v>0</v>
      </c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8"/>
      <c r="LZ73" s="2">
        <v>0.32442680776014099</v>
      </c>
      <c r="MA73" s="1">
        <f t="shared" si="27"/>
        <v>0</v>
      </c>
      <c r="MB73" s="1">
        <v>0</v>
      </c>
      <c r="MC73" s="2">
        <v>0.32442681000000001</v>
      </c>
      <c r="MD73" s="1">
        <f t="shared" si="28"/>
        <v>0.32442681000000001</v>
      </c>
      <c r="ME73" s="1">
        <f t="shared" si="29"/>
        <v>0.32442681000000001</v>
      </c>
    </row>
    <row r="74" spans="1:343" x14ac:dyDescent="0.2">
      <c r="A74" s="2">
        <v>12</v>
      </c>
      <c r="B74" s="7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>
        <f t="shared" si="25"/>
        <v>0</v>
      </c>
      <c r="BH74" s="3">
        <f t="shared" si="25"/>
        <v>0</v>
      </c>
      <c r="BI74" s="3">
        <f t="shared" si="25"/>
        <v>0</v>
      </c>
      <c r="BJ74" s="3">
        <f t="shared" si="25"/>
        <v>0</v>
      </c>
      <c r="BK74" s="3">
        <f t="shared" si="25"/>
        <v>0</v>
      </c>
      <c r="BL74" s="3">
        <f t="shared" si="10"/>
        <v>0</v>
      </c>
      <c r="BM74" s="3">
        <f t="shared" si="10"/>
        <v>0</v>
      </c>
      <c r="BN74" s="3">
        <f t="shared" si="26"/>
        <v>0</v>
      </c>
      <c r="BO74" s="3">
        <f t="shared" si="26"/>
        <v>0</v>
      </c>
      <c r="BP74" s="3">
        <f t="shared" si="26"/>
        <v>0</v>
      </c>
      <c r="BQ74" s="3">
        <f t="shared" si="26"/>
        <v>0</v>
      </c>
      <c r="BR74" s="3">
        <f t="shared" si="26"/>
        <v>0</v>
      </c>
      <c r="BS74" s="3">
        <f t="shared" si="26"/>
        <v>0</v>
      </c>
      <c r="BT74" s="3">
        <f t="shared" si="26"/>
        <v>0</v>
      </c>
      <c r="BU74" s="3">
        <f t="shared" si="26"/>
        <v>0</v>
      </c>
      <c r="BV74" s="3">
        <f>BV$338</f>
        <v>0</v>
      </c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8"/>
      <c r="LZ74" s="2">
        <v>0.38904761904761898</v>
      </c>
      <c r="MA74" s="1">
        <f t="shared" si="27"/>
        <v>0</v>
      </c>
      <c r="MB74" s="1">
        <v>0</v>
      </c>
      <c r="MC74" s="2">
        <v>0.38904761999999998</v>
      </c>
      <c r="MD74" s="1">
        <f t="shared" si="28"/>
        <v>0.38904761999999998</v>
      </c>
      <c r="ME74" s="1">
        <f t="shared" si="29"/>
        <v>0.38904761999999998</v>
      </c>
    </row>
    <row r="75" spans="1:343" x14ac:dyDescent="0.2">
      <c r="A75" s="2">
        <v>12.5</v>
      </c>
      <c r="B75" s="7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>
        <f t="shared" si="25"/>
        <v>0</v>
      </c>
      <c r="BI75" s="3">
        <f t="shared" si="25"/>
        <v>0</v>
      </c>
      <c r="BJ75" s="3">
        <f t="shared" si="25"/>
        <v>0</v>
      </c>
      <c r="BK75" s="3">
        <f t="shared" si="25"/>
        <v>0</v>
      </c>
      <c r="BL75" s="3">
        <f t="shared" si="25"/>
        <v>0</v>
      </c>
      <c r="BM75" s="3">
        <f t="shared" si="10"/>
        <v>0</v>
      </c>
      <c r="BN75" s="3">
        <f t="shared" si="26"/>
        <v>0</v>
      </c>
      <c r="BO75" s="3">
        <f t="shared" si="26"/>
        <v>0</v>
      </c>
      <c r="BP75" s="3">
        <f t="shared" si="26"/>
        <v>0</v>
      </c>
      <c r="BQ75" s="3">
        <f t="shared" si="26"/>
        <v>0</v>
      </c>
      <c r="BR75" s="3">
        <f t="shared" si="26"/>
        <v>0</v>
      </c>
      <c r="BS75" s="3">
        <f t="shared" si="26"/>
        <v>0</v>
      </c>
      <c r="BT75" s="3">
        <f t="shared" si="26"/>
        <v>0</v>
      </c>
      <c r="BU75" s="3">
        <f t="shared" si="26"/>
        <v>0</v>
      </c>
      <c r="BV75" s="3">
        <f t="shared" si="26"/>
        <v>0</v>
      </c>
      <c r="BW75" s="3">
        <f>BW$338</f>
        <v>0</v>
      </c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8"/>
      <c r="LZ75" s="2">
        <v>0.38904761904761898</v>
      </c>
      <c r="MA75" s="1">
        <f t="shared" si="27"/>
        <v>0</v>
      </c>
      <c r="MB75" s="1">
        <v>0</v>
      </c>
      <c r="MC75" s="2">
        <v>0.38904761999999998</v>
      </c>
      <c r="MD75" s="1">
        <f t="shared" si="28"/>
        <v>0.38904761999999998</v>
      </c>
      <c r="ME75" s="1">
        <f t="shared" si="29"/>
        <v>0.38904761999999998</v>
      </c>
    </row>
    <row r="76" spans="1:343" x14ac:dyDescent="0.2">
      <c r="A76" s="2">
        <v>13</v>
      </c>
      <c r="B76" s="7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>
        <f t="shared" si="25"/>
        <v>0</v>
      </c>
      <c r="BJ76" s="3">
        <f t="shared" si="25"/>
        <v>0</v>
      </c>
      <c r="BK76" s="3">
        <f t="shared" si="25"/>
        <v>0</v>
      </c>
      <c r="BL76" s="3">
        <f t="shared" si="25"/>
        <v>0</v>
      </c>
      <c r="BM76" s="3">
        <f t="shared" si="25"/>
        <v>0</v>
      </c>
      <c r="BN76" s="3">
        <f t="shared" si="26"/>
        <v>0</v>
      </c>
      <c r="BO76" s="3">
        <f t="shared" si="26"/>
        <v>0</v>
      </c>
      <c r="BP76" s="3">
        <f t="shared" si="26"/>
        <v>0</v>
      </c>
      <c r="BQ76" s="3">
        <f t="shared" si="26"/>
        <v>0</v>
      </c>
      <c r="BR76" s="3">
        <f t="shared" si="26"/>
        <v>0</v>
      </c>
      <c r="BS76" s="3">
        <f t="shared" si="26"/>
        <v>0</v>
      </c>
      <c r="BT76" s="3">
        <f t="shared" si="26"/>
        <v>0</v>
      </c>
      <c r="BU76" s="3">
        <f t="shared" si="26"/>
        <v>0</v>
      </c>
      <c r="BV76" s="3">
        <f t="shared" si="26"/>
        <v>0</v>
      </c>
      <c r="BW76" s="3">
        <f t="shared" si="26"/>
        <v>0</v>
      </c>
      <c r="BX76" s="3">
        <f>BX$338</f>
        <v>0</v>
      </c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8"/>
      <c r="LZ76" s="2">
        <v>0.41463844797178101</v>
      </c>
      <c r="MA76" s="1">
        <f t="shared" si="27"/>
        <v>0</v>
      </c>
      <c r="MB76" s="1">
        <v>0</v>
      </c>
      <c r="MC76" s="2">
        <v>0.41463844999999999</v>
      </c>
      <c r="MD76" s="1">
        <f t="shared" si="28"/>
        <v>0.41463844999999999</v>
      </c>
      <c r="ME76" s="1">
        <f t="shared" si="29"/>
        <v>0.41463844999999999</v>
      </c>
    </row>
    <row r="77" spans="1:343" x14ac:dyDescent="0.2">
      <c r="A77" s="2">
        <v>13.5</v>
      </c>
      <c r="B77" s="7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>
        <f t="shared" si="25"/>
        <v>0</v>
      </c>
      <c r="BK77" s="3">
        <f t="shared" si="25"/>
        <v>0</v>
      </c>
      <c r="BL77" s="3">
        <f t="shared" si="25"/>
        <v>0</v>
      </c>
      <c r="BM77" s="3">
        <f t="shared" si="25"/>
        <v>0</v>
      </c>
      <c r="BN77" s="3">
        <f t="shared" si="26"/>
        <v>0</v>
      </c>
      <c r="BO77" s="3">
        <f t="shared" si="26"/>
        <v>0</v>
      </c>
      <c r="BP77" s="3">
        <f t="shared" si="26"/>
        <v>0</v>
      </c>
      <c r="BQ77" s="3">
        <f t="shared" si="26"/>
        <v>0</v>
      </c>
      <c r="BR77" s="3">
        <f t="shared" si="26"/>
        <v>0</v>
      </c>
      <c r="BS77" s="3">
        <f t="shared" si="26"/>
        <v>0</v>
      </c>
      <c r="BT77" s="3">
        <f t="shared" si="26"/>
        <v>0</v>
      </c>
      <c r="BU77" s="3">
        <f t="shared" si="26"/>
        <v>0</v>
      </c>
      <c r="BV77" s="3">
        <f t="shared" si="26"/>
        <v>0</v>
      </c>
      <c r="BW77" s="3">
        <f t="shared" si="26"/>
        <v>0</v>
      </c>
      <c r="BX77" s="3">
        <f t="shared" si="26"/>
        <v>0</v>
      </c>
      <c r="BY77" s="3">
        <f>BY$338</f>
        <v>0</v>
      </c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8"/>
      <c r="LZ77" s="2">
        <v>0.41463844797178101</v>
      </c>
      <c r="MA77" s="1">
        <f t="shared" si="27"/>
        <v>0</v>
      </c>
      <c r="MB77" s="1">
        <v>0</v>
      </c>
      <c r="MC77" s="2">
        <v>0.41463844999999999</v>
      </c>
      <c r="MD77" s="1">
        <f t="shared" si="28"/>
        <v>0.41463844999999999</v>
      </c>
      <c r="ME77" s="1">
        <f t="shared" si="29"/>
        <v>0.41463844999999999</v>
      </c>
    </row>
    <row r="78" spans="1:343" x14ac:dyDescent="0.2">
      <c r="A78" s="2">
        <v>14</v>
      </c>
      <c r="B78" s="7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>
        <f t="shared" si="25"/>
        <v>0</v>
      </c>
      <c r="BL78" s="3">
        <f t="shared" si="25"/>
        <v>0</v>
      </c>
      <c r="BM78" s="3">
        <f t="shared" si="25"/>
        <v>0</v>
      </c>
      <c r="BN78" s="3">
        <f t="shared" si="26"/>
        <v>0</v>
      </c>
      <c r="BO78" s="3">
        <f t="shared" si="26"/>
        <v>0</v>
      </c>
      <c r="BP78" s="3">
        <f t="shared" si="26"/>
        <v>0</v>
      </c>
      <c r="BQ78" s="3">
        <f t="shared" si="26"/>
        <v>0</v>
      </c>
      <c r="BR78" s="3">
        <f t="shared" si="26"/>
        <v>0</v>
      </c>
      <c r="BS78" s="3">
        <f t="shared" si="26"/>
        <v>0</v>
      </c>
      <c r="BT78" s="3">
        <f t="shared" si="26"/>
        <v>0</v>
      </c>
      <c r="BU78" s="3">
        <f t="shared" si="26"/>
        <v>0</v>
      </c>
      <c r="BV78" s="3">
        <f t="shared" si="26"/>
        <v>0</v>
      </c>
      <c r="BW78" s="3">
        <f t="shared" si="26"/>
        <v>0</v>
      </c>
      <c r="BX78" s="3">
        <f t="shared" si="26"/>
        <v>0</v>
      </c>
      <c r="BY78" s="3">
        <f t="shared" si="26"/>
        <v>0</v>
      </c>
      <c r="BZ78" s="3">
        <f>BZ$338</f>
        <v>0</v>
      </c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8"/>
      <c r="LZ78" s="2">
        <v>0.406067019400353</v>
      </c>
      <c r="MA78" s="1">
        <f t="shared" si="27"/>
        <v>0</v>
      </c>
      <c r="MB78" s="1">
        <v>0</v>
      </c>
      <c r="MC78" s="2">
        <v>0.40606702</v>
      </c>
      <c r="MD78" s="1">
        <f t="shared" si="28"/>
        <v>0.40606702</v>
      </c>
      <c r="ME78" s="1">
        <f t="shared" si="29"/>
        <v>0.40606702</v>
      </c>
    </row>
    <row r="79" spans="1:343" x14ac:dyDescent="0.2">
      <c r="A79" s="2">
        <v>14.5</v>
      </c>
      <c r="B79" s="7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>
        <f t="shared" si="25"/>
        <v>0</v>
      </c>
      <c r="BM79" s="3">
        <f t="shared" si="25"/>
        <v>0</v>
      </c>
      <c r="BN79" s="3">
        <f t="shared" si="26"/>
        <v>0</v>
      </c>
      <c r="BO79" s="3">
        <f t="shared" si="26"/>
        <v>0</v>
      </c>
      <c r="BP79" s="3">
        <f t="shared" si="26"/>
        <v>0</v>
      </c>
      <c r="BQ79" s="3">
        <f t="shared" si="26"/>
        <v>0</v>
      </c>
      <c r="BR79" s="3">
        <f t="shared" si="26"/>
        <v>0</v>
      </c>
      <c r="BS79" s="3">
        <f t="shared" si="26"/>
        <v>0</v>
      </c>
      <c r="BT79" s="3">
        <f t="shared" si="26"/>
        <v>0</v>
      </c>
      <c r="BU79" s="3">
        <f t="shared" si="26"/>
        <v>0</v>
      </c>
      <c r="BV79" s="3">
        <f t="shared" si="26"/>
        <v>0</v>
      </c>
      <c r="BW79" s="3">
        <f t="shared" si="26"/>
        <v>0</v>
      </c>
      <c r="BX79" s="3">
        <f t="shared" si="26"/>
        <v>0</v>
      </c>
      <c r="BY79" s="3">
        <f t="shared" si="26"/>
        <v>0</v>
      </c>
      <c r="BZ79" s="3">
        <f t="shared" si="26"/>
        <v>0</v>
      </c>
      <c r="CA79" s="3">
        <f>CA$338</f>
        <v>0</v>
      </c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8"/>
      <c r="LZ79" s="2">
        <v>0.406067019400353</v>
      </c>
      <c r="MA79" s="1">
        <f t="shared" si="27"/>
        <v>0</v>
      </c>
      <c r="MB79" s="1">
        <v>0</v>
      </c>
      <c r="MC79" s="2">
        <v>0.40606702</v>
      </c>
      <c r="MD79" s="1">
        <f t="shared" si="28"/>
        <v>0.40606702</v>
      </c>
      <c r="ME79" s="1">
        <f t="shared" si="29"/>
        <v>0.40606702</v>
      </c>
    </row>
    <row r="80" spans="1:343" x14ac:dyDescent="0.2">
      <c r="A80" s="2">
        <v>15</v>
      </c>
      <c r="B80" s="7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>
        <f t="shared" ref="BM80" si="30">BM$338</f>
        <v>0</v>
      </c>
      <c r="BN80" s="3">
        <f t="shared" si="26"/>
        <v>0</v>
      </c>
      <c r="BO80" s="3">
        <f t="shared" si="26"/>
        <v>0</v>
      </c>
      <c r="BP80" s="3">
        <f t="shared" si="26"/>
        <v>0</v>
      </c>
      <c r="BQ80" s="3">
        <f t="shared" si="26"/>
        <v>0</v>
      </c>
      <c r="BR80" s="3">
        <f t="shared" si="26"/>
        <v>0</v>
      </c>
      <c r="BS80" s="3">
        <f t="shared" si="26"/>
        <v>0</v>
      </c>
      <c r="BT80" s="3">
        <f t="shared" si="26"/>
        <v>0</v>
      </c>
      <c r="BU80" s="3">
        <f t="shared" si="26"/>
        <v>0</v>
      </c>
      <c r="BV80" s="3">
        <f t="shared" si="26"/>
        <v>0</v>
      </c>
      <c r="BW80" s="3">
        <f t="shared" si="26"/>
        <v>0</v>
      </c>
      <c r="BX80" s="3">
        <f t="shared" si="26"/>
        <v>0</v>
      </c>
      <c r="BY80" s="3">
        <f t="shared" si="26"/>
        <v>0</v>
      </c>
      <c r="BZ80" s="3">
        <f t="shared" si="26"/>
        <v>0</v>
      </c>
      <c r="CA80" s="3">
        <f t="shared" si="26"/>
        <v>0</v>
      </c>
      <c r="CB80" s="3">
        <f>CB$338</f>
        <v>0</v>
      </c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8"/>
      <c r="LZ80" s="2">
        <v>0.38892416225749599</v>
      </c>
      <c r="MA80" s="1">
        <f t="shared" si="27"/>
        <v>0</v>
      </c>
      <c r="MB80" s="1">
        <v>0</v>
      </c>
      <c r="MC80" s="2">
        <v>0.38892416000000002</v>
      </c>
      <c r="MD80" s="1">
        <f t="shared" si="28"/>
        <v>0.38892416000000002</v>
      </c>
      <c r="ME80" s="1">
        <f t="shared" si="29"/>
        <v>0.38892416000000002</v>
      </c>
    </row>
    <row r="81" spans="1:343" x14ac:dyDescent="0.2">
      <c r="A81" s="2">
        <v>15.5</v>
      </c>
      <c r="B81" s="7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>
        <f t="shared" si="26"/>
        <v>0</v>
      </c>
      <c r="BO81" s="3">
        <f t="shared" si="26"/>
        <v>0</v>
      </c>
      <c r="BP81" s="3">
        <f t="shared" si="26"/>
        <v>0</v>
      </c>
      <c r="BQ81" s="3">
        <f t="shared" si="26"/>
        <v>0</v>
      </c>
      <c r="BR81" s="3">
        <f t="shared" si="26"/>
        <v>0</v>
      </c>
      <c r="BS81" s="3">
        <f t="shared" si="26"/>
        <v>0</v>
      </c>
      <c r="BT81" s="3">
        <f t="shared" si="26"/>
        <v>0</v>
      </c>
      <c r="BU81" s="3">
        <f t="shared" si="26"/>
        <v>0</v>
      </c>
      <c r="BV81" s="3">
        <f t="shared" si="26"/>
        <v>0</v>
      </c>
      <c r="BW81" s="3">
        <f t="shared" si="26"/>
        <v>0</v>
      </c>
      <c r="BX81" s="3">
        <f t="shared" si="26"/>
        <v>0</v>
      </c>
      <c r="BY81" s="3">
        <f t="shared" si="26"/>
        <v>0</v>
      </c>
      <c r="BZ81" s="3">
        <f t="shared" si="26"/>
        <v>0</v>
      </c>
      <c r="CA81" s="3">
        <f t="shared" si="26"/>
        <v>0</v>
      </c>
      <c r="CB81" s="3">
        <f t="shared" si="26"/>
        <v>0</v>
      </c>
      <c r="CC81" s="3">
        <f>CC$338</f>
        <v>0</v>
      </c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8"/>
      <c r="LZ81" s="2">
        <v>0.38892416225749599</v>
      </c>
      <c r="MA81" s="1">
        <f t="shared" si="27"/>
        <v>0</v>
      </c>
      <c r="MB81" s="1">
        <v>0</v>
      </c>
      <c r="MC81" s="2">
        <v>0.38892416000000002</v>
      </c>
      <c r="MD81" s="1">
        <f t="shared" si="28"/>
        <v>0.38892416000000002</v>
      </c>
      <c r="ME81" s="1">
        <f t="shared" si="29"/>
        <v>0.38892416000000002</v>
      </c>
    </row>
    <row r="82" spans="1:343" x14ac:dyDescent="0.2">
      <c r="A82" s="2">
        <v>16</v>
      </c>
      <c r="B82" s="7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>
        <f t="shared" si="26"/>
        <v>0</v>
      </c>
      <c r="BP82" s="3">
        <f t="shared" si="26"/>
        <v>0</v>
      </c>
      <c r="BQ82" s="3">
        <f t="shared" si="26"/>
        <v>0</v>
      </c>
      <c r="BR82" s="3">
        <f t="shared" si="26"/>
        <v>0</v>
      </c>
      <c r="BS82" s="3">
        <f t="shared" si="26"/>
        <v>0</v>
      </c>
      <c r="BT82" s="3">
        <f t="shared" si="26"/>
        <v>0</v>
      </c>
      <c r="BU82" s="3">
        <f t="shared" si="26"/>
        <v>0</v>
      </c>
      <c r="BV82" s="3">
        <f t="shared" si="26"/>
        <v>0</v>
      </c>
      <c r="BW82" s="3">
        <f t="shared" si="26"/>
        <v>0</v>
      </c>
      <c r="BX82" s="3">
        <f t="shared" si="26"/>
        <v>0</v>
      </c>
      <c r="BY82" s="3">
        <f t="shared" si="26"/>
        <v>0</v>
      </c>
      <c r="BZ82" s="3">
        <f t="shared" si="26"/>
        <v>0</v>
      </c>
      <c r="CA82" s="3">
        <f t="shared" si="26"/>
        <v>0</v>
      </c>
      <c r="CB82" s="3">
        <f t="shared" si="26"/>
        <v>0</v>
      </c>
      <c r="CC82" s="3">
        <f t="shared" si="26"/>
        <v>0</v>
      </c>
      <c r="CD82" s="3">
        <f>CD$338</f>
        <v>1</v>
      </c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8"/>
      <c r="LZ82" s="2">
        <v>0.41174603174603203</v>
      </c>
      <c r="MA82" s="1">
        <f t="shared" si="27"/>
        <v>1</v>
      </c>
      <c r="MB82" s="1">
        <v>0.58825397000000001</v>
      </c>
      <c r="MC82" s="2">
        <v>0</v>
      </c>
      <c r="MD82" s="1">
        <f t="shared" si="28"/>
        <v>0.41174602999999999</v>
      </c>
      <c r="ME82" s="1">
        <f t="shared" si="29"/>
        <v>0.58825397000000001</v>
      </c>
    </row>
    <row r="83" spans="1:343" x14ac:dyDescent="0.2">
      <c r="A83" s="2">
        <v>16.5</v>
      </c>
      <c r="B83" s="7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>
        <f t="shared" si="26"/>
        <v>0</v>
      </c>
      <c r="BQ83" s="3">
        <f t="shared" si="26"/>
        <v>0</v>
      </c>
      <c r="BR83" s="3">
        <f t="shared" si="26"/>
        <v>0</v>
      </c>
      <c r="BS83" s="3">
        <f t="shared" si="26"/>
        <v>0</v>
      </c>
      <c r="BT83" s="3">
        <f t="shared" si="26"/>
        <v>0</v>
      </c>
      <c r="BU83" s="3">
        <f t="shared" si="26"/>
        <v>0</v>
      </c>
      <c r="BV83" s="3">
        <f t="shared" si="26"/>
        <v>0</v>
      </c>
      <c r="BW83" s="3">
        <f t="shared" si="26"/>
        <v>0</v>
      </c>
      <c r="BX83" s="3">
        <f t="shared" si="26"/>
        <v>0</v>
      </c>
      <c r="BY83" s="3">
        <f t="shared" si="26"/>
        <v>0</v>
      </c>
      <c r="BZ83" s="3">
        <f t="shared" si="26"/>
        <v>0</v>
      </c>
      <c r="CA83" s="3">
        <f t="shared" si="26"/>
        <v>0</v>
      </c>
      <c r="CB83" s="3">
        <f t="shared" si="26"/>
        <v>0</v>
      </c>
      <c r="CC83" s="3">
        <f t="shared" si="26"/>
        <v>0</v>
      </c>
      <c r="CD83" s="3">
        <f t="shared" si="26"/>
        <v>1</v>
      </c>
      <c r="CE83" s="3">
        <f>CE$338</f>
        <v>0</v>
      </c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8"/>
      <c r="LZ83" s="2">
        <v>0.41174603174603203</v>
      </c>
      <c r="MA83" s="1">
        <f t="shared" si="27"/>
        <v>1</v>
      </c>
      <c r="MB83" s="1">
        <v>0.58825397000000001</v>
      </c>
      <c r="MC83" s="2">
        <v>0</v>
      </c>
      <c r="MD83" s="1">
        <f t="shared" si="28"/>
        <v>0.41174602999999999</v>
      </c>
      <c r="ME83" s="1">
        <f t="shared" si="29"/>
        <v>0.58825397000000001</v>
      </c>
    </row>
    <row r="84" spans="1:343" x14ac:dyDescent="0.2">
      <c r="A84" s="2">
        <v>17</v>
      </c>
      <c r="B84" s="7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>
        <f t="shared" si="26"/>
        <v>0</v>
      </c>
      <c r="BR84" s="3">
        <f t="shared" si="26"/>
        <v>0</v>
      </c>
      <c r="BS84" s="3">
        <f t="shared" si="26"/>
        <v>0</v>
      </c>
      <c r="BT84" s="3">
        <f t="shared" si="26"/>
        <v>0</v>
      </c>
      <c r="BU84" s="3">
        <f t="shared" si="26"/>
        <v>0</v>
      </c>
      <c r="BV84" s="3">
        <f t="shared" si="26"/>
        <v>0</v>
      </c>
      <c r="BW84" s="3">
        <f t="shared" si="26"/>
        <v>0</v>
      </c>
      <c r="BX84" s="3">
        <f t="shared" si="26"/>
        <v>0</v>
      </c>
      <c r="BY84" s="3">
        <f t="shared" si="26"/>
        <v>0</v>
      </c>
      <c r="BZ84" s="3">
        <f t="shared" si="26"/>
        <v>0</v>
      </c>
      <c r="CA84" s="3">
        <f t="shared" si="26"/>
        <v>0</v>
      </c>
      <c r="CB84" s="3">
        <f t="shared" si="26"/>
        <v>0</v>
      </c>
      <c r="CC84" s="3">
        <f t="shared" si="26"/>
        <v>0</v>
      </c>
      <c r="CD84" s="3">
        <f t="shared" si="26"/>
        <v>1</v>
      </c>
      <c r="CE84" s="3">
        <f t="shared" si="26"/>
        <v>0</v>
      </c>
      <c r="CF84" s="3">
        <f>CF$338</f>
        <v>0</v>
      </c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8"/>
      <c r="LZ84" s="2">
        <v>0.49282186948853601</v>
      </c>
      <c r="MA84" s="1">
        <f t="shared" si="27"/>
        <v>1</v>
      </c>
      <c r="MB84" s="1">
        <v>0.50717813</v>
      </c>
      <c r="MC84" s="2">
        <v>0</v>
      </c>
      <c r="MD84" s="1">
        <f t="shared" si="28"/>
        <v>0.49282187</v>
      </c>
      <c r="ME84" s="1">
        <f t="shared" si="29"/>
        <v>0.50717813</v>
      </c>
    </row>
    <row r="85" spans="1:343" x14ac:dyDescent="0.2">
      <c r="A85" s="2">
        <v>17.5</v>
      </c>
      <c r="B85" s="7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>
        <f t="shared" si="26"/>
        <v>0</v>
      </c>
      <c r="BS85" s="3">
        <f t="shared" si="26"/>
        <v>0</v>
      </c>
      <c r="BT85" s="3">
        <f t="shared" si="26"/>
        <v>0</v>
      </c>
      <c r="BU85" s="3">
        <f t="shared" si="26"/>
        <v>0</v>
      </c>
      <c r="BV85" s="3">
        <f t="shared" si="26"/>
        <v>0</v>
      </c>
      <c r="BW85" s="3">
        <f t="shared" si="26"/>
        <v>0</v>
      </c>
      <c r="BX85" s="3">
        <f t="shared" si="26"/>
        <v>0</v>
      </c>
      <c r="BY85" s="3">
        <f t="shared" si="26"/>
        <v>0</v>
      </c>
      <c r="BZ85" s="3">
        <f t="shared" si="26"/>
        <v>0</v>
      </c>
      <c r="CA85" s="3">
        <f t="shared" si="26"/>
        <v>0</v>
      </c>
      <c r="CB85" s="3">
        <f t="shared" si="26"/>
        <v>0</v>
      </c>
      <c r="CC85" s="3">
        <f t="shared" si="26"/>
        <v>0</v>
      </c>
      <c r="CD85" s="3">
        <f t="shared" si="26"/>
        <v>1</v>
      </c>
      <c r="CE85" s="3">
        <f t="shared" si="26"/>
        <v>0</v>
      </c>
      <c r="CF85" s="3">
        <f t="shared" si="26"/>
        <v>0</v>
      </c>
      <c r="CG85" s="3">
        <f>CG$338</f>
        <v>0</v>
      </c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8"/>
      <c r="LZ85" s="2">
        <v>0.49282186948853601</v>
      </c>
      <c r="MA85" s="1">
        <f t="shared" si="27"/>
        <v>1</v>
      </c>
      <c r="MB85" s="1">
        <v>0.50717813</v>
      </c>
      <c r="MC85" s="2">
        <v>0</v>
      </c>
      <c r="MD85" s="1">
        <f t="shared" si="28"/>
        <v>0.49282187</v>
      </c>
      <c r="ME85" s="1">
        <f t="shared" si="29"/>
        <v>0.50717813</v>
      </c>
    </row>
    <row r="86" spans="1:343" x14ac:dyDescent="0.2">
      <c r="A86" s="2">
        <v>18</v>
      </c>
      <c r="B86" s="7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>
        <f t="shared" si="26"/>
        <v>0</v>
      </c>
      <c r="BT86" s="3">
        <f t="shared" si="26"/>
        <v>0</v>
      </c>
      <c r="BU86" s="3">
        <f t="shared" si="26"/>
        <v>0</v>
      </c>
      <c r="BV86" s="3">
        <f t="shared" si="26"/>
        <v>0</v>
      </c>
      <c r="BW86" s="3">
        <f t="shared" si="26"/>
        <v>0</v>
      </c>
      <c r="BX86" s="3">
        <f t="shared" si="26"/>
        <v>0</v>
      </c>
      <c r="BY86" s="3">
        <f t="shared" si="26"/>
        <v>0</v>
      </c>
      <c r="BZ86" s="3">
        <f t="shared" si="26"/>
        <v>0</v>
      </c>
      <c r="CA86" s="3">
        <f t="shared" si="26"/>
        <v>0</v>
      </c>
      <c r="CB86" s="3">
        <f t="shared" si="26"/>
        <v>0</v>
      </c>
      <c r="CC86" s="3">
        <f t="shared" si="26"/>
        <v>0</v>
      </c>
      <c r="CD86" s="3">
        <f t="shared" si="26"/>
        <v>1</v>
      </c>
      <c r="CE86" s="3">
        <f t="shared" si="26"/>
        <v>0</v>
      </c>
      <c r="CF86" s="3">
        <f t="shared" si="26"/>
        <v>0</v>
      </c>
      <c r="CG86" s="3">
        <f t="shared" si="26"/>
        <v>0</v>
      </c>
      <c r="CH86" s="3">
        <f>CH$338</f>
        <v>0</v>
      </c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8"/>
      <c r="LZ86" s="2">
        <v>0.61019400352733699</v>
      </c>
      <c r="MA86" s="1">
        <f t="shared" si="27"/>
        <v>1</v>
      </c>
      <c r="MB86" s="1">
        <v>0.38980599999999999</v>
      </c>
      <c r="MC86" s="2">
        <v>0</v>
      </c>
      <c r="MD86" s="1">
        <f t="shared" si="28"/>
        <v>0.61019400000000001</v>
      </c>
      <c r="ME86" s="1">
        <f t="shared" si="29"/>
        <v>0.38980599999999999</v>
      </c>
    </row>
    <row r="87" spans="1:343" x14ac:dyDescent="0.2">
      <c r="A87" s="2">
        <v>18.5</v>
      </c>
      <c r="B87" s="7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>
        <f t="shared" si="26"/>
        <v>0</v>
      </c>
      <c r="BU87" s="3">
        <f t="shared" si="26"/>
        <v>0</v>
      </c>
      <c r="BV87" s="3">
        <f t="shared" si="26"/>
        <v>0</v>
      </c>
      <c r="BW87" s="3">
        <f t="shared" si="26"/>
        <v>0</v>
      </c>
      <c r="BX87" s="3">
        <f t="shared" si="26"/>
        <v>0</v>
      </c>
      <c r="BY87" s="3">
        <f t="shared" si="26"/>
        <v>0</v>
      </c>
      <c r="BZ87" s="3">
        <f t="shared" si="26"/>
        <v>0</v>
      </c>
      <c r="CA87" s="3">
        <f t="shared" si="26"/>
        <v>0</v>
      </c>
      <c r="CB87" s="3">
        <f t="shared" si="26"/>
        <v>0</v>
      </c>
      <c r="CC87" s="3">
        <f t="shared" si="26"/>
        <v>0</v>
      </c>
      <c r="CD87" s="3">
        <f t="shared" si="26"/>
        <v>1</v>
      </c>
      <c r="CE87" s="3">
        <f t="shared" si="26"/>
        <v>0</v>
      </c>
      <c r="CF87" s="3">
        <f t="shared" si="26"/>
        <v>0</v>
      </c>
      <c r="CG87" s="3">
        <f t="shared" si="26"/>
        <v>0</v>
      </c>
      <c r="CH87" s="3">
        <f t="shared" si="26"/>
        <v>0</v>
      </c>
      <c r="CI87" s="3">
        <f>CI$338</f>
        <v>0</v>
      </c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8"/>
      <c r="LZ87" s="2">
        <v>0.61019400352733699</v>
      </c>
      <c r="MA87" s="1">
        <f t="shared" si="27"/>
        <v>1</v>
      </c>
      <c r="MB87" s="1">
        <v>0.38980599999999999</v>
      </c>
      <c r="MC87" s="2">
        <v>0</v>
      </c>
      <c r="MD87" s="1">
        <f t="shared" si="28"/>
        <v>0.61019400000000001</v>
      </c>
      <c r="ME87" s="1">
        <f t="shared" si="29"/>
        <v>0.38980599999999999</v>
      </c>
    </row>
    <row r="88" spans="1:343" x14ac:dyDescent="0.2">
      <c r="A88" s="2">
        <v>19</v>
      </c>
      <c r="B88" s="7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>
        <f t="shared" si="26"/>
        <v>0</v>
      </c>
      <c r="BV88" s="3">
        <f t="shared" si="26"/>
        <v>0</v>
      </c>
      <c r="BW88" s="3">
        <f t="shared" si="26"/>
        <v>0</v>
      </c>
      <c r="BX88" s="3">
        <f t="shared" si="26"/>
        <v>0</v>
      </c>
      <c r="BY88" s="3">
        <f t="shared" si="26"/>
        <v>0</v>
      </c>
      <c r="BZ88" s="3">
        <f t="shared" si="26"/>
        <v>0</v>
      </c>
      <c r="CA88" s="3">
        <f t="shared" si="26"/>
        <v>0</v>
      </c>
      <c r="CB88" s="3">
        <f t="shared" si="26"/>
        <v>0</v>
      </c>
      <c r="CC88" s="3">
        <f t="shared" si="26"/>
        <v>0</v>
      </c>
      <c r="CD88" s="3">
        <f t="shared" si="26"/>
        <v>1</v>
      </c>
      <c r="CE88" s="3">
        <f t="shared" si="26"/>
        <v>0</v>
      </c>
      <c r="CF88" s="3">
        <f t="shared" si="26"/>
        <v>0</v>
      </c>
      <c r="CG88" s="3">
        <f t="shared" si="26"/>
        <v>0</v>
      </c>
      <c r="CH88" s="3">
        <f t="shared" si="26"/>
        <v>0</v>
      </c>
      <c r="CI88" s="3">
        <f t="shared" si="26"/>
        <v>0</v>
      </c>
      <c r="CJ88" s="3">
        <f>CJ$338</f>
        <v>0</v>
      </c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8"/>
      <c r="LZ88" s="2">
        <v>0.724038800705467</v>
      </c>
      <c r="MA88" s="1">
        <f t="shared" si="27"/>
        <v>1</v>
      </c>
      <c r="MB88" s="1">
        <v>0.27596120000000002</v>
      </c>
      <c r="MC88" s="2">
        <v>0</v>
      </c>
      <c r="MD88" s="1">
        <f t="shared" si="28"/>
        <v>0.72403879999999998</v>
      </c>
      <c r="ME88" s="1">
        <f t="shared" si="29"/>
        <v>0.27596120000000002</v>
      </c>
    </row>
    <row r="89" spans="1:343" x14ac:dyDescent="0.2">
      <c r="A89" s="2">
        <v>19.5</v>
      </c>
      <c r="B89" s="7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>
        <f t="shared" si="26"/>
        <v>0</v>
      </c>
      <c r="BW89" s="3">
        <f t="shared" si="26"/>
        <v>0</v>
      </c>
      <c r="BX89" s="3">
        <f t="shared" si="26"/>
        <v>0</v>
      </c>
      <c r="BY89" s="3">
        <f t="shared" si="26"/>
        <v>0</v>
      </c>
      <c r="BZ89" s="3">
        <f t="shared" si="26"/>
        <v>0</v>
      </c>
      <c r="CA89" s="3">
        <f t="shared" si="26"/>
        <v>0</v>
      </c>
      <c r="CB89" s="3">
        <f t="shared" si="26"/>
        <v>0</v>
      </c>
      <c r="CC89" s="3">
        <f t="shared" si="26"/>
        <v>0</v>
      </c>
      <c r="CD89" s="3">
        <f t="shared" si="26"/>
        <v>1</v>
      </c>
      <c r="CE89" s="3">
        <f t="shared" si="26"/>
        <v>0</v>
      </c>
      <c r="CF89" s="3">
        <f t="shared" si="26"/>
        <v>0</v>
      </c>
      <c r="CG89" s="3">
        <f t="shared" si="26"/>
        <v>0</v>
      </c>
      <c r="CH89" s="3">
        <f t="shared" si="26"/>
        <v>0</v>
      </c>
      <c r="CI89" s="3">
        <f t="shared" si="26"/>
        <v>0</v>
      </c>
      <c r="CJ89" s="3">
        <f t="shared" si="26"/>
        <v>0</v>
      </c>
      <c r="CK89" s="3">
        <f>CK$338</f>
        <v>0</v>
      </c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8"/>
      <c r="LZ89" s="2">
        <v>0.724038800705467</v>
      </c>
      <c r="MA89" s="1">
        <f t="shared" si="27"/>
        <v>1</v>
      </c>
      <c r="MB89" s="1">
        <v>0.27596120000000002</v>
      </c>
      <c r="MC89" s="2">
        <v>0</v>
      </c>
      <c r="MD89" s="1">
        <f t="shared" si="28"/>
        <v>0.72403879999999998</v>
      </c>
      <c r="ME89" s="1">
        <f t="shared" si="29"/>
        <v>0.27596120000000002</v>
      </c>
    </row>
    <row r="90" spans="1:343" x14ac:dyDescent="0.2">
      <c r="A90" s="2">
        <v>20</v>
      </c>
      <c r="B90" s="7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>
        <f t="shared" si="26"/>
        <v>0</v>
      </c>
      <c r="BX90" s="3">
        <f t="shared" si="26"/>
        <v>0</v>
      </c>
      <c r="BY90" s="3">
        <f t="shared" si="26"/>
        <v>0</v>
      </c>
      <c r="BZ90" s="3">
        <f t="shared" si="26"/>
        <v>0</v>
      </c>
      <c r="CA90" s="3">
        <f t="shared" si="26"/>
        <v>0</v>
      </c>
      <c r="CB90" s="3">
        <f t="shared" si="26"/>
        <v>0</v>
      </c>
      <c r="CC90" s="3">
        <f t="shared" si="26"/>
        <v>0</v>
      </c>
      <c r="CD90" s="3">
        <f t="shared" si="26"/>
        <v>1</v>
      </c>
      <c r="CE90" s="3">
        <f t="shared" si="26"/>
        <v>0</v>
      </c>
      <c r="CF90" s="3">
        <f t="shared" si="26"/>
        <v>0</v>
      </c>
      <c r="CG90" s="3">
        <f t="shared" si="26"/>
        <v>0</v>
      </c>
      <c r="CH90" s="3">
        <f t="shared" si="26"/>
        <v>0</v>
      </c>
      <c r="CI90" s="3">
        <f t="shared" si="26"/>
        <v>0</v>
      </c>
      <c r="CJ90" s="3">
        <f t="shared" si="26"/>
        <v>0</v>
      </c>
      <c r="CK90" s="3">
        <f t="shared" si="26"/>
        <v>0</v>
      </c>
      <c r="CL90" s="3">
        <f>CL$338</f>
        <v>0</v>
      </c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8"/>
      <c r="LZ90" s="2">
        <v>0.783721340388007</v>
      </c>
      <c r="MA90" s="1">
        <f t="shared" si="27"/>
        <v>1</v>
      </c>
      <c r="MB90" s="1">
        <v>0.21627866000000001</v>
      </c>
      <c r="MC90" s="2">
        <v>0</v>
      </c>
      <c r="MD90" s="1">
        <f t="shared" si="28"/>
        <v>0.78372134000000004</v>
      </c>
      <c r="ME90" s="1">
        <f t="shared" si="29"/>
        <v>0.21627866000000001</v>
      </c>
    </row>
    <row r="91" spans="1:343" x14ac:dyDescent="0.2">
      <c r="A91" s="2">
        <v>20.5</v>
      </c>
      <c r="B91" s="7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>
        <f t="shared" ref="BX91:CS112" si="31">BX$338</f>
        <v>0</v>
      </c>
      <c r="BY91" s="3">
        <f t="shared" si="31"/>
        <v>0</v>
      </c>
      <c r="BZ91" s="3">
        <f t="shared" si="31"/>
        <v>0</v>
      </c>
      <c r="CA91" s="3">
        <f t="shared" si="31"/>
        <v>0</v>
      </c>
      <c r="CB91" s="3">
        <f t="shared" si="31"/>
        <v>0</v>
      </c>
      <c r="CC91" s="3">
        <f t="shared" si="31"/>
        <v>0</v>
      </c>
      <c r="CD91" s="3">
        <f t="shared" si="31"/>
        <v>1</v>
      </c>
      <c r="CE91" s="3">
        <f t="shared" si="31"/>
        <v>0</v>
      </c>
      <c r="CF91" s="3">
        <f t="shared" si="31"/>
        <v>0</v>
      </c>
      <c r="CG91" s="3">
        <f t="shared" si="31"/>
        <v>0</v>
      </c>
      <c r="CH91" s="3">
        <f t="shared" si="31"/>
        <v>0</v>
      </c>
      <c r="CI91" s="3">
        <f t="shared" si="31"/>
        <v>0</v>
      </c>
      <c r="CJ91" s="3">
        <f t="shared" si="31"/>
        <v>0</v>
      </c>
      <c r="CK91" s="3">
        <f t="shared" si="31"/>
        <v>0</v>
      </c>
      <c r="CL91" s="3">
        <f t="shared" si="31"/>
        <v>0</v>
      </c>
      <c r="CM91" s="3">
        <f>CM$338</f>
        <v>0</v>
      </c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8"/>
      <c r="LZ91" s="2">
        <v>0.783721340388007</v>
      </c>
      <c r="MA91" s="1">
        <f t="shared" si="27"/>
        <v>1</v>
      </c>
      <c r="MB91" s="1">
        <v>0.21627866000000001</v>
      </c>
      <c r="MC91" s="2">
        <v>0</v>
      </c>
      <c r="MD91" s="1">
        <f t="shared" si="28"/>
        <v>0.78372134000000004</v>
      </c>
      <c r="ME91" s="1">
        <f t="shared" si="29"/>
        <v>0.21627866000000001</v>
      </c>
    </row>
    <row r="92" spans="1:343" x14ac:dyDescent="0.2">
      <c r="A92" s="2">
        <v>21</v>
      </c>
      <c r="B92" s="7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>
        <f t="shared" si="31"/>
        <v>0</v>
      </c>
      <c r="BZ92" s="3">
        <f t="shared" si="31"/>
        <v>0</v>
      </c>
      <c r="CA92" s="3">
        <f t="shared" si="31"/>
        <v>0</v>
      </c>
      <c r="CB92" s="3">
        <f t="shared" si="31"/>
        <v>0</v>
      </c>
      <c r="CC92" s="3">
        <f t="shared" si="31"/>
        <v>0</v>
      </c>
      <c r="CD92" s="3">
        <f t="shared" si="31"/>
        <v>1</v>
      </c>
      <c r="CE92" s="3">
        <f t="shared" si="31"/>
        <v>0</v>
      </c>
      <c r="CF92" s="3">
        <f t="shared" si="31"/>
        <v>0</v>
      </c>
      <c r="CG92" s="3">
        <f t="shared" si="31"/>
        <v>0</v>
      </c>
      <c r="CH92" s="3">
        <f t="shared" si="31"/>
        <v>0</v>
      </c>
      <c r="CI92" s="3">
        <f t="shared" si="31"/>
        <v>0</v>
      </c>
      <c r="CJ92" s="3">
        <f t="shared" si="31"/>
        <v>0</v>
      </c>
      <c r="CK92" s="3">
        <f t="shared" si="31"/>
        <v>0</v>
      </c>
      <c r="CL92" s="3">
        <f t="shared" si="31"/>
        <v>0</v>
      </c>
      <c r="CM92" s="3">
        <f t="shared" si="31"/>
        <v>0</v>
      </c>
      <c r="CN92" s="3">
        <f>CN$338</f>
        <v>0</v>
      </c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8"/>
      <c r="LZ92" s="2">
        <v>0.78652557319224004</v>
      </c>
      <c r="MA92" s="1">
        <f t="shared" si="27"/>
        <v>1</v>
      </c>
      <c r="MB92" s="1">
        <v>0.21347442999999999</v>
      </c>
      <c r="MC92" s="2">
        <v>0</v>
      </c>
      <c r="MD92" s="1">
        <f t="shared" si="28"/>
        <v>0.78652557000000001</v>
      </c>
      <c r="ME92" s="1">
        <f t="shared" si="29"/>
        <v>0.21347442999999999</v>
      </c>
    </row>
    <row r="93" spans="1:343" x14ac:dyDescent="0.2">
      <c r="A93" s="2">
        <v>21.5</v>
      </c>
      <c r="B93" s="7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>
        <f t="shared" si="31"/>
        <v>0</v>
      </c>
      <c r="CA93" s="3">
        <f t="shared" si="31"/>
        <v>0</v>
      </c>
      <c r="CB93" s="3">
        <f t="shared" si="31"/>
        <v>0</v>
      </c>
      <c r="CC93" s="3">
        <f t="shared" si="31"/>
        <v>0</v>
      </c>
      <c r="CD93" s="3">
        <f t="shared" si="31"/>
        <v>1</v>
      </c>
      <c r="CE93" s="3">
        <f t="shared" si="31"/>
        <v>0</v>
      </c>
      <c r="CF93" s="3">
        <f t="shared" si="31"/>
        <v>0</v>
      </c>
      <c r="CG93" s="3">
        <f t="shared" si="31"/>
        <v>0</v>
      </c>
      <c r="CH93" s="3">
        <f t="shared" si="31"/>
        <v>0</v>
      </c>
      <c r="CI93" s="3">
        <f t="shared" si="31"/>
        <v>0</v>
      </c>
      <c r="CJ93" s="3">
        <f t="shared" si="31"/>
        <v>0</v>
      </c>
      <c r="CK93" s="3">
        <f t="shared" si="31"/>
        <v>0</v>
      </c>
      <c r="CL93" s="3">
        <f t="shared" si="31"/>
        <v>0</v>
      </c>
      <c r="CM93" s="3">
        <f t="shared" si="31"/>
        <v>0</v>
      </c>
      <c r="CN93" s="3">
        <f t="shared" si="31"/>
        <v>0</v>
      </c>
      <c r="CO93" s="3">
        <f>CO$338</f>
        <v>0</v>
      </c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8"/>
      <c r="LZ93" s="2">
        <v>0.78652557319224004</v>
      </c>
      <c r="MA93" s="1">
        <f t="shared" si="27"/>
        <v>1</v>
      </c>
      <c r="MB93" s="1">
        <v>0.21347442999999999</v>
      </c>
      <c r="MC93" s="2">
        <v>0</v>
      </c>
      <c r="MD93" s="1">
        <f t="shared" si="28"/>
        <v>0.78652557000000001</v>
      </c>
      <c r="ME93" s="1">
        <f t="shared" si="29"/>
        <v>0.21347442999999999</v>
      </c>
    </row>
    <row r="94" spans="1:343" x14ac:dyDescent="0.2">
      <c r="A94" s="2">
        <v>22</v>
      </c>
      <c r="B94" s="7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>
        <f t="shared" si="31"/>
        <v>0</v>
      </c>
      <c r="CB94" s="3">
        <f t="shared" si="31"/>
        <v>0</v>
      </c>
      <c r="CC94" s="3">
        <f t="shared" si="31"/>
        <v>0</v>
      </c>
      <c r="CD94" s="3">
        <f t="shared" si="31"/>
        <v>1</v>
      </c>
      <c r="CE94" s="3">
        <f t="shared" si="31"/>
        <v>0</v>
      </c>
      <c r="CF94" s="3">
        <f t="shared" si="31"/>
        <v>0</v>
      </c>
      <c r="CG94" s="3">
        <f t="shared" si="31"/>
        <v>0</v>
      </c>
      <c r="CH94" s="3">
        <f t="shared" si="31"/>
        <v>0</v>
      </c>
      <c r="CI94" s="3">
        <f t="shared" si="31"/>
        <v>0</v>
      </c>
      <c r="CJ94" s="3">
        <f t="shared" si="31"/>
        <v>0</v>
      </c>
      <c r="CK94" s="3">
        <f t="shared" si="31"/>
        <v>0</v>
      </c>
      <c r="CL94" s="3">
        <f t="shared" si="31"/>
        <v>0</v>
      </c>
      <c r="CM94" s="3">
        <f t="shared" si="31"/>
        <v>0</v>
      </c>
      <c r="CN94" s="3">
        <f t="shared" si="31"/>
        <v>0</v>
      </c>
      <c r="CO94" s="3">
        <f t="shared" si="31"/>
        <v>0</v>
      </c>
      <c r="CP94" s="3">
        <f>CP$338</f>
        <v>0</v>
      </c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8"/>
      <c r="LZ94" s="2">
        <v>0.71141093474426798</v>
      </c>
      <c r="MA94" s="1">
        <f t="shared" si="27"/>
        <v>1</v>
      </c>
      <c r="MB94" s="1">
        <v>0.28858907</v>
      </c>
      <c r="MC94" s="2">
        <v>0</v>
      </c>
      <c r="MD94" s="1">
        <f t="shared" si="28"/>
        <v>0.71141093</v>
      </c>
      <c r="ME94" s="1">
        <f t="shared" si="29"/>
        <v>0.28858907</v>
      </c>
    </row>
    <row r="95" spans="1:343" x14ac:dyDescent="0.2">
      <c r="A95" s="2">
        <v>22.5</v>
      </c>
      <c r="B95" s="7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>
        <f t="shared" si="31"/>
        <v>0</v>
      </c>
      <c r="CC95" s="3">
        <f t="shared" si="31"/>
        <v>0</v>
      </c>
      <c r="CD95" s="3">
        <f t="shared" si="31"/>
        <v>1</v>
      </c>
      <c r="CE95" s="3">
        <f t="shared" si="31"/>
        <v>0</v>
      </c>
      <c r="CF95" s="3">
        <f t="shared" si="31"/>
        <v>0</v>
      </c>
      <c r="CG95" s="3">
        <f t="shared" si="31"/>
        <v>0</v>
      </c>
      <c r="CH95" s="3">
        <f t="shared" si="31"/>
        <v>0</v>
      </c>
      <c r="CI95" s="3">
        <f t="shared" si="31"/>
        <v>0</v>
      </c>
      <c r="CJ95" s="3">
        <f t="shared" si="31"/>
        <v>0</v>
      </c>
      <c r="CK95" s="3">
        <f t="shared" si="31"/>
        <v>0</v>
      </c>
      <c r="CL95" s="3">
        <f t="shared" si="31"/>
        <v>0</v>
      </c>
      <c r="CM95" s="3">
        <f t="shared" si="31"/>
        <v>0</v>
      </c>
      <c r="CN95" s="3">
        <f t="shared" si="31"/>
        <v>0</v>
      </c>
      <c r="CO95" s="3">
        <f t="shared" si="31"/>
        <v>0</v>
      </c>
      <c r="CP95" s="3">
        <f t="shared" si="31"/>
        <v>0</v>
      </c>
      <c r="CQ95" s="3">
        <f>CQ$338</f>
        <v>0</v>
      </c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8"/>
      <c r="LZ95" s="2">
        <v>0.71141093474426798</v>
      </c>
      <c r="MA95" s="1">
        <f t="shared" si="27"/>
        <v>1</v>
      </c>
      <c r="MB95" s="1">
        <v>0.28858907</v>
      </c>
      <c r="MC95" s="2">
        <v>0</v>
      </c>
      <c r="MD95" s="1">
        <f t="shared" si="28"/>
        <v>0.71141093</v>
      </c>
      <c r="ME95" s="1">
        <f t="shared" si="29"/>
        <v>0.28858907</v>
      </c>
    </row>
    <row r="96" spans="1:343" x14ac:dyDescent="0.2">
      <c r="A96" s="2">
        <v>23</v>
      </c>
      <c r="B96" s="7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>
        <f t="shared" si="31"/>
        <v>0</v>
      </c>
      <c r="CD96" s="3">
        <f t="shared" si="31"/>
        <v>1</v>
      </c>
      <c r="CE96" s="3">
        <f t="shared" si="31"/>
        <v>0</v>
      </c>
      <c r="CF96" s="3">
        <f t="shared" si="31"/>
        <v>0</v>
      </c>
      <c r="CG96" s="3">
        <f t="shared" si="31"/>
        <v>0</v>
      </c>
      <c r="CH96" s="3">
        <f t="shared" si="31"/>
        <v>0</v>
      </c>
      <c r="CI96" s="3">
        <f t="shared" si="31"/>
        <v>0</v>
      </c>
      <c r="CJ96" s="3">
        <f t="shared" si="31"/>
        <v>0</v>
      </c>
      <c r="CK96" s="3">
        <f t="shared" si="31"/>
        <v>0</v>
      </c>
      <c r="CL96" s="3">
        <f t="shared" si="31"/>
        <v>0</v>
      </c>
      <c r="CM96" s="3">
        <f t="shared" si="31"/>
        <v>0</v>
      </c>
      <c r="CN96" s="3">
        <f t="shared" si="31"/>
        <v>0</v>
      </c>
      <c r="CO96" s="3">
        <f t="shared" si="31"/>
        <v>0</v>
      </c>
      <c r="CP96" s="3">
        <f t="shared" si="31"/>
        <v>0</v>
      </c>
      <c r="CQ96" s="3">
        <f t="shared" si="31"/>
        <v>0</v>
      </c>
      <c r="CR96" s="3">
        <f>CR$338</f>
        <v>0</v>
      </c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8"/>
      <c r="LZ96" s="2">
        <v>0.54447268106734403</v>
      </c>
      <c r="MA96" s="1">
        <f t="shared" si="27"/>
        <v>1</v>
      </c>
      <c r="MB96" s="1">
        <v>0.45552732000000001</v>
      </c>
      <c r="MC96" s="2">
        <v>0</v>
      </c>
      <c r="MD96" s="1">
        <f t="shared" si="28"/>
        <v>0.54447267999999993</v>
      </c>
      <c r="ME96" s="1">
        <f t="shared" si="29"/>
        <v>0.45552732000000001</v>
      </c>
    </row>
    <row r="97" spans="1:343" x14ac:dyDescent="0.2">
      <c r="A97" s="2">
        <v>23.5</v>
      </c>
      <c r="B97" s="7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>
        <f t="shared" si="31"/>
        <v>1</v>
      </c>
      <c r="CE97" s="3">
        <f t="shared" si="31"/>
        <v>0</v>
      </c>
      <c r="CF97" s="3">
        <f t="shared" si="31"/>
        <v>0</v>
      </c>
      <c r="CG97" s="3">
        <f t="shared" si="31"/>
        <v>0</v>
      </c>
      <c r="CH97" s="3">
        <f t="shared" si="31"/>
        <v>0</v>
      </c>
      <c r="CI97" s="3">
        <f t="shared" si="31"/>
        <v>0</v>
      </c>
      <c r="CJ97" s="3">
        <f t="shared" si="31"/>
        <v>0</v>
      </c>
      <c r="CK97" s="3">
        <f t="shared" si="31"/>
        <v>0</v>
      </c>
      <c r="CL97" s="3">
        <f t="shared" si="31"/>
        <v>0</v>
      </c>
      <c r="CM97" s="3">
        <f t="shared" si="31"/>
        <v>0</v>
      </c>
      <c r="CN97" s="3">
        <f t="shared" si="31"/>
        <v>0</v>
      </c>
      <c r="CO97" s="3">
        <f t="shared" si="31"/>
        <v>0</v>
      </c>
      <c r="CP97" s="3">
        <f t="shared" si="31"/>
        <v>0</v>
      </c>
      <c r="CQ97" s="3">
        <f t="shared" si="31"/>
        <v>0</v>
      </c>
      <c r="CR97" s="3">
        <f t="shared" si="31"/>
        <v>0</v>
      </c>
      <c r="CS97" s="3">
        <f>CS$338</f>
        <v>0</v>
      </c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8"/>
      <c r="LZ97" s="2">
        <v>0.54447268106734403</v>
      </c>
      <c r="MA97" s="1">
        <f t="shared" si="27"/>
        <v>1</v>
      </c>
      <c r="MB97" s="1">
        <v>0.45552732000000001</v>
      </c>
      <c r="MC97" s="2">
        <v>0</v>
      </c>
      <c r="MD97" s="1">
        <f t="shared" si="28"/>
        <v>0.54447267999999993</v>
      </c>
      <c r="ME97" s="1">
        <f t="shared" si="29"/>
        <v>0.45552732000000001</v>
      </c>
    </row>
    <row r="98" spans="1:343" x14ac:dyDescent="0.2">
      <c r="A98" s="2">
        <v>0</v>
      </c>
      <c r="B98" s="7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>
        <f t="shared" si="31"/>
        <v>0</v>
      </c>
      <c r="CF98" s="3">
        <f t="shared" si="31"/>
        <v>0</v>
      </c>
      <c r="CG98" s="3">
        <f t="shared" si="31"/>
        <v>0</v>
      </c>
      <c r="CH98" s="3">
        <f t="shared" si="31"/>
        <v>0</v>
      </c>
      <c r="CI98" s="3">
        <f t="shared" si="31"/>
        <v>0</v>
      </c>
      <c r="CJ98" s="3">
        <f t="shared" si="31"/>
        <v>0</v>
      </c>
      <c r="CK98" s="3">
        <f t="shared" si="31"/>
        <v>0</v>
      </c>
      <c r="CL98" s="3">
        <f t="shared" si="31"/>
        <v>0</v>
      </c>
      <c r="CM98" s="3">
        <f t="shared" si="31"/>
        <v>0</v>
      </c>
      <c r="CN98" s="3">
        <f t="shared" si="31"/>
        <v>0</v>
      </c>
      <c r="CO98" s="3">
        <f t="shared" si="31"/>
        <v>0</v>
      </c>
      <c r="CP98" s="3">
        <f t="shared" si="31"/>
        <v>0</v>
      </c>
      <c r="CQ98" s="3">
        <f t="shared" si="31"/>
        <v>0</v>
      </c>
      <c r="CR98" s="3">
        <f t="shared" si="31"/>
        <v>0</v>
      </c>
      <c r="CS98" s="3">
        <f t="shared" si="31"/>
        <v>0</v>
      </c>
      <c r="CT98" s="3">
        <f>CT$338</f>
        <v>0</v>
      </c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8"/>
      <c r="LZ98" s="2">
        <v>0.39487179487179502</v>
      </c>
      <c r="MA98" s="1">
        <f t="shared" si="27"/>
        <v>0</v>
      </c>
      <c r="MB98" s="1">
        <v>0</v>
      </c>
      <c r="MC98" s="2">
        <v>0.39487179</v>
      </c>
      <c r="MD98" s="1">
        <f t="shared" si="28"/>
        <v>0.39487179</v>
      </c>
      <c r="ME98" s="1">
        <f t="shared" si="29"/>
        <v>0.39487179</v>
      </c>
    </row>
    <row r="99" spans="1:343" x14ac:dyDescent="0.2">
      <c r="A99" s="2">
        <v>0.5</v>
      </c>
      <c r="B99" s="7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>
        <f t="shared" si="31"/>
        <v>0</v>
      </c>
      <c r="CG99" s="3">
        <f t="shared" si="31"/>
        <v>0</v>
      </c>
      <c r="CH99" s="3">
        <f t="shared" si="31"/>
        <v>0</v>
      </c>
      <c r="CI99" s="3">
        <f t="shared" si="31"/>
        <v>0</v>
      </c>
      <c r="CJ99" s="3">
        <f t="shared" si="31"/>
        <v>0</v>
      </c>
      <c r="CK99" s="3">
        <f t="shared" si="31"/>
        <v>0</v>
      </c>
      <c r="CL99" s="3">
        <f t="shared" si="31"/>
        <v>0</v>
      </c>
      <c r="CM99" s="3">
        <f t="shared" si="31"/>
        <v>0</v>
      </c>
      <c r="CN99" s="3">
        <f t="shared" si="31"/>
        <v>0</v>
      </c>
      <c r="CO99" s="3">
        <f t="shared" si="31"/>
        <v>0</v>
      </c>
      <c r="CP99" s="3">
        <f t="shared" si="31"/>
        <v>0</v>
      </c>
      <c r="CQ99" s="3">
        <f t="shared" si="31"/>
        <v>0</v>
      </c>
      <c r="CR99" s="3">
        <f t="shared" si="31"/>
        <v>0</v>
      </c>
      <c r="CS99" s="3">
        <f t="shared" si="31"/>
        <v>0</v>
      </c>
      <c r="CT99" s="3">
        <f t="shared" ref="CT99:DQ122" si="32">CT$338</f>
        <v>0</v>
      </c>
      <c r="CU99" s="3">
        <f>CU$338</f>
        <v>0</v>
      </c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8"/>
      <c r="LZ99" s="2">
        <v>0.39487179487179502</v>
      </c>
      <c r="MA99" s="1">
        <f t="shared" si="27"/>
        <v>0</v>
      </c>
      <c r="MB99" s="1">
        <v>0</v>
      </c>
      <c r="MC99" s="2">
        <v>0.39487179</v>
      </c>
      <c r="MD99" s="1">
        <f t="shared" si="28"/>
        <v>0.39487179</v>
      </c>
      <c r="ME99" s="1">
        <f t="shared" si="29"/>
        <v>0.39487179</v>
      </c>
    </row>
    <row r="100" spans="1:343" x14ac:dyDescent="0.2">
      <c r="A100" s="2">
        <v>1</v>
      </c>
      <c r="B100" s="7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>
        <f t="shared" si="31"/>
        <v>0</v>
      </c>
      <c r="CH100" s="3">
        <f t="shared" si="31"/>
        <v>0</v>
      </c>
      <c r="CI100" s="3">
        <f t="shared" si="31"/>
        <v>0</v>
      </c>
      <c r="CJ100" s="3">
        <f t="shared" si="31"/>
        <v>0</v>
      </c>
      <c r="CK100" s="3">
        <f t="shared" si="31"/>
        <v>0</v>
      </c>
      <c r="CL100" s="3">
        <f t="shared" si="31"/>
        <v>0</v>
      </c>
      <c r="CM100" s="3">
        <f t="shared" si="31"/>
        <v>0</v>
      </c>
      <c r="CN100" s="3">
        <f t="shared" si="31"/>
        <v>0</v>
      </c>
      <c r="CO100" s="3">
        <f t="shared" si="31"/>
        <v>0</v>
      </c>
      <c r="CP100" s="3">
        <f t="shared" si="31"/>
        <v>0</v>
      </c>
      <c r="CQ100" s="3">
        <f t="shared" si="31"/>
        <v>0</v>
      </c>
      <c r="CR100" s="3">
        <f t="shared" si="31"/>
        <v>0</v>
      </c>
      <c r="CS100" s="3">
        <f t="shared" si="31"/>
        <v>0</v>
      </c>
      <c r="CT100" s="3">
        <f t="shared" si="32"/>
        <v>0</v>
      </c>
      <c r="CU100" s="3">
        <f t="shared" si="32"/>
        <v>0</v>
      </c>
      <c r="CV100" s="3">
        <f>CV$338</f>
        <v>0</v>
      </c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8"/>
      <c r="LZ100" s="2">
        <v>0.28048433048433102</v>
      </c>
      <c r="MA100" s="1">
        <f t="shared" si="27"/>
        <v>0</v>
      </c>
      <c r="MB100" s="1">
        <v>0</v>
      </c>
      <c r="MC100" s="2">
        <v>0.28048433</v>
      </c>
      <c r="MD100" s="1">
        <f t="shared" si="28"/>
        <v>0.28048433</v>
      </c>
      <c r="ME100" s="1">
        <f t="shared" si="29"/>
        <v>0.28048433</v>
      </c>
    </row>
    <row r="101" spans="1:343" x14ac:dyDescent="0.2">
      <c r="A101" s="2">
        <v>1.5</v>
      </c>
      <c r="B101" s="7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>
        <f t="shared" si="31"/>
        <v>0</v>
      </c>
      <c r="CI101" s="3">
        <f t="shared" si="31"/>
        <v>0</v>
      </c>
      <c r="CJ101" s="3">
        <f t="shared" si="31"/>
        <v>0</v>
      </c>
      <c r="CK101" s="3">
        <f t="shared" si="31"/>
        <v>0</v>
      </c>
      <c r="CL101" s="3">
        <f t="shared" si="31"/>
        <v>0</v>
      </c>
      <c r="CM101" s="3">
        <f t="shared" si="31"/>
        <v>0</v>
      </c>
      <c r="CN101" s="3">
        <f t="shared" si="31"/>
        <v>0</v>
      </c>
      <c r="CO101" s="3">
        <f t="shared" si="31"/>
        <v>0</v>
      </c>
      <c r="CP101" s="3">
        <f t="shared" si="31"/>
        <v>0</v>
      </c>
      <c r="CQ101" s="3">
        <f t="shared" si="31"/>
        <v>0</v>
      </c>
      <c r="CR101" s="3">
        <f t="shared" si="31"/>
        <v>0</v>
      </c>
      <c r="CS101" s="3">
        <f t="shared" si="31"/>
        <v>0</v>
      </c>
      <c r="CT101" s="3">
        <f t="shared" si="32"/>
        <v>0</v>
      </c>
      <c r="CU101" s="3">
        <f t="shared" si="32"/>
        <v>0</v>
      </c>
      <c r="CV101" s="3">
        <f t="shared" si="32"/>
        <v>0</v>
      </c>
      <c r="CW101" s="3">
        <f>CW$338</f>
        <v>0</v>
      </c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8"/>
      <c r="LZ101" s="2">
        <v>0.28048433048433102</v>
      </c>
      <c r="MA101" s="1">
        <f t="shared" si="27"/>
        <v>0</v>
      </c>
      <c r="MB101" s="1">
        <v>0</v>
      </c>
      <c r="MC101" s="2">
        <v>0.28048433</v>
      </c>
      <c r="MD101" s="1">
        <f t="shared" si="28"/>
        <v>0.28048433</v>
      </c>
      <c r="ME101" s="1">
        <f t="shared" si="29"/>
        <v>0.28048433</v>
      </c>
    </row>
    <row r="102" spans="1:343" x14ac:dyDescent="0.2">
      <c r="A102" s="2">
        <v>2</v>
      </c>
      <c r="B102" s="7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>
        <f t="shared" si="31"/>
        <v>0</v>
      </c>
      <c r="CJ102" s="3">
        <f t="shared" si="31"/>
        <v>0</v>
      </c>
      <c r="CK102" s="3">
        <f t="shared" si="31"/>
        <v>0</v>
      </c>
      <c r="CL102" s="3">
        <f t="shared" si="31"/>
        <v>0</v>
      </c>
      <c r="CM102" s="3">
        <f t="shared" si="31"/>
        <v>0</v>
      </c>
      <c r="CN102" s="3">
        <f t="shared" si="31"/>
        <v>0</v>
      </c>
      <c r="CO102" s="3">
        <f t="shared" si="31"/>
        <v>0</v>
      </c>
      <c r="CP102" s="3">
        <f t="shared" si="31"/>
        <v>0</v>
      </c>
      <c r="CQ102" s="3">
        <f t="shared" si="31"/>
        <v>0</v>
      </c>
      <c r="CR102" s="3">
        <f t="shared" si="31"/>
        <v>0</v>
      </c>
      <c r="CS102" s="3">
        <f t="shared" si="31"/>
        <v>0</v>
      </c>
      <c r="CT102" s="3">
        <f t="shared" si="32"/>
        <v>0</v>
      </c>
      <c r="CU102" s="3">
        <f t="shared" si="32"/>
        <v>0</v>
      </c>
      <c r="CV102" s="3">
        <f t="shared" si="32"/>
        <v>0</v>
      </c>
      <c r="CW102" s="3">
        <f t="shared" si="32"/>
        <v>0</v>
      </c>
      <c r="CX102" s="3">
        <f>CX$338</f>
        <v>0</v>
      </c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8"/>
      <c r="LZ102" s="2">
        <v>0.18472222222222201</v>
      </c>
      <c r="MA102" s="1">
        <f t="shared" si="27"/>
        <v>0</v>
      </c>
      <c r="MB102" s="1">
        <v>0</v>
      </c>
      <c r="MC102" s="2">
        <v>0.18472221999999999</v>
      </c>
      <c r="MD102" s="1">
        <f t="shared" si="28"/>
        <v>0.18472221999999999</v>
      </c>
      <c r="ME102" s="1">
        <f t="shared" si="29"/>
        <v>0.18472221999999999</v>
      </c>
    </row>
    <row r="103" spans="1:343" x14ac:dyDescent="0.2">
      <c r="A103" s="2">
        <v>2.5</v>
      </c>
      <c r="B103" s="7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>
        <f t="shared" si="31"/>
        <v>0</v>
      </c>
      <c r="CK103" s="3">
        <f t="shared" si="31"/>
        <v>0</v>
      </c>
      <c r="CL103" s="3">
        <f t="shared" si="31"/>
        <v>0</v>
      </c>
      <c r="CM103" s="3">
        <f t="shared" si="31"/>
        <v>0</v>
      </c>
      <c r="CN103" s="3">
        <f t="shared" si="31"/>
        <v>0</v>
      </c>
      <c r="CO103" s="3">
        <f t="shared" si="31"/>
        <v>0</v>
      </c>
      <c r="CP103" s="3">
        <f t="shared" si="31"/>
        <v>0</v>
      </c>
      <c r="CQ103" s="3">
        <f t="shared" si="31"/>
        <v>0</v>
      </c>
      <c r="CR103" s="3">
        <f t="shared" si="31"/>
        <v>0</v>
      </c>
      <c r="CS103" s="3">
        <f t="shared" si="31"/>
        <v>0</v>
      </c>
      <c r="CT103" s="3">
        <f t="shared" si="32"/>
        <v>0</v>
      </c>
      <c r="CU103" s="3">
        <f t="shared" si="32"/>
        <v>0</v>
      </c>
      <c r="CV103" s="3">
        <f t="shared" si="32"/>
        <v>0</v>
      </c>
      <c r="CW103" s="3">
        <f t="shared" si="32"/>
        <v>0</v>
      </c>
      <c r="CX103" s="3">
        <f t="shared" si="32"/>
        <v>0</v>
      </c>
      <c r="CY103" s="3">
        <f>CY$338</f>
        <v>0</v>
      </c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8"/>
      <c r="LZ103" s="2">
        <v>0.18472222222222201</v>
      </c>
      <c r="MA103" s="1">
        <f t="shared" si="27"/>
        <v>0</v>
      </c>
      <c r="MB103" s="1">
        <v>0</v>
      </c>
      <c r="MC103" s="2">
        <v>0.18472221999999999</v>
      </c>
      <c r="MD103" s="1">
        <f t="shared" si="28"/>
        <v>0.18472221999999999</v>
      </c>
      <c r="ME103" s="1">
        <f t="shared" si="29"/>
        <v>0.18472221999999999</v>
      </c>
    </row>
    <row r="104" spans="1:343" x14ac:dyDescent="0.2">
      <c r="A104" s="2">
        <v>3</v>
      </c>
      <c r="B104" s="7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>
        <f t="shared" si="31"/>
        <v>0</v>
      </c>
      <c r="CL104" s="3">
        <f t="shared" si="31"/>
        <v>0</v>
      </c>
      <c r="CM104" s="3">
        <f t="shared" si="31"/>
        <v>0</v>
      </c>
      <c r="CN104" s="3">
        <f t="shared" si="31"/>
        <v>0</v>
      </c>
      <c r="CO104" s="3">
        <f t="shared" si="31"/>
        <v>0</v>
      </c>
      <c r="CP104" s="3">
        <f t="shared" si="31"/>
        <v>0</v>
      </c>
      <c r="CQ104" s="3">
        <f t="shared" si="31"/>
        <v>0</v>
      </c>
      <c r="CR104" s="3">
        <f t="shared" si="31"/>
        <v>0</v>
      </c>
      <c r="CS104" s="3">
        <f t="shared" si="31"/>
        <v>0</v>
      </c>
      <c r="CT104" s="3">
        <f t="shared" si="32"/>
        <v>0</v>
      </c>
      <c r="CU104" s="3">
        <f t="shared" si="32"/>
        <v>0</v>
      </c>
      <c r="CV104" s="3">
        <f t="shared" si="32"/>
        <v>0</v>
      </c>
      <c r="CW104" s="3">
        <f t="shared" si="32"/>
        <v>0</v>
      </c>
      <c r="CX104" s="3">
        <f t="shared" si="32"/>
        <v>0</v>
      </c>
      <c r="CY104" s="3">
        <f t="shared" si="32"/>
        <v>0</v>
      </c>
      <c r="CZ104" s="3">
        <f>CZ$338</f>
        <v>0</v>
      </c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8"/>
      <c r="LZ104" s="2">
        <v>0.14152421652421701</v>
      </c>
      <c r="MA104" s="1">
        <f t="shared" si="27"/>
        <v>0</v>
      </c>
      <c r="MB104" s="1">
        <v>0</v>
      </c>
      <c r="MC104" s="2">
        <v>0.14152422000000001</v>
      </c>
      <c r="MD104" s="1">
        <f t="shared" si="28"/>
        <v>0.14152422000000001</v>
      </c>
      <c r="ME104" s="1">
        <f t="shared" si="29"/>
        <v>0.14152422000000001</v>
      </c>
    </row>
    <row r="105" spans="1:343" x14ac:dyDescent="0.2">
      <c r="A105" s="2">
        <v>3.5</v>
      </c>
      <c r="B105" s="7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>
        <f t="shared" si="31"/>
        <v>0</v>
      </c>
      <c r="CM105" s="3">
        <f t="shared" si="31"/>
        <v>0</v>
      </c>
      <c r="CN105" s="3">
        <f t="shared" si="31"/>
        <v>0</v>
      </c>
      <c r="CO105" s="3">
        <f t="shared" si="31"/>
        <v>0</v>
      </c>
      <c r="CP105" s="3">
        <f t="shared" si="31"/>
        <v>0</v>
      </c>
      <c r="CQ105" s="3">
        <f t="shared" si="31"/>
        <v>0</v>
      </c>
      <c r="CR105" s="3">
        <f t="shared" si="31"/>
        <v>0</v>
      </c>
      <c r="CS105" s="3">
        <f t="shared" si="31"/>
        <v>0</v>
      </c>
      <c r="CT105" s="3">
        <f t="shared" si="32"/>
        <v>0</v>
      </c>
      <c r="CU105" s="3">
        <f t="shared" si="32"/>
        <v>0</v>
      </c>
      <c r="CV105" s="3">
        <f t="shared" si="32"/>
        <v>0</v>
      </c>
      <c r="CW105" s="3">
        <f t="shared" si="32"/>
        <v>0</v>
      </c>
      <c r="CX105" s="3">
        <f t="shared" si="32"/>
        <v>0</v>
      </c>
      <c r="CY105" s="3">
        <f t="shared" si="32"/>
        <v>0</v>
      </c>
      <c r="CZ105" s="3">
        <f t="shared" si="32"/>
        <v>0</v>
      </c>
      <c r="DA105" s="3">
        <f>DA$338</f>
        <v>0</v>
      </c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8"/>
      <c r="LZ105" s="2">
        <v>0.14152421652421701</v>
      </c>
      <c r="MA105" s="1">
        <f t="shared" si="27"/>
        <v>0</v>
      </c>
      <c r="MB105" s="1">
        <v>0</v>
      </c>
      <c r="MC105" s="2">
        <v>0.14152422000000001</v>
      </c>
      <c r="MD105" s="1">
        <f t="shared" si="28"/>
        <v>0.14152422000000001</v>
      </c>
      <c r="ME105" s="1">
        <f t="shared" si="29"/>
        <v>0.14152422000000001</v>
      </c>
    </row>
    <row r="106" spans="1:343" x14ac:dyDescent="0.2">
      <c r="A106" s="2">
        <v>4</v>
      </c>
      <c r="B106" s="7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>
        <f t="shared" si="31"/>
        <v>0</v>
      </c>
      <c r="CN106" s="3">
        <f t="shared" si="31"/>
        <v>0</v>
      </c>
      <c r="CO106" s="3">
        <f t="shared" si="31"/>
        <v>0</v>
      </c>
      <c r="CP106" s="3">
        <f t="shared" si="31"/>
        <v>0</v>
      </c>
      <c r="CQ106" s="3">
        <f t="shared" si="31"/>
        <v>0</v>
      </c>
      <c r="CR106" s="3">
        <f t="shared" si="31"/>
        <v>0</v>
      </c>
      <c r="CS106" s="3">
        <f t="shared" si="31"/>
        <v>0</v>
      </c>
      <c r="CT106" s="3">
        <f t="shared" si="32"/>
        <v>0</v>
      </c>
      <c r="CU106" s="3">
        <f t="shared" si="32"/>
        <v>0</v>
      </c>
      <c r="CV106" s="3">
        <f t="shared" si="32"/>
        <v>0</v>
      </c>
      <c r="CW106" s="3">
        <f t="shared" si="32"/>
        <v>0</v>
      </c>
      <c r="CX106" s="3">
        <f t="shared" si="32"/>
        <v>0</v>
      </c>
      <c r="CY106" s="3">
        <f t="shared" si="32"/>
        <v>0</v>
      </c>
      <c r="CZ106" s="3">
        <f t="shared" si="32"/>
        <v>0</v>
      </c>
      <c r="DA106" s="3">
        <f t="shared" si="32"/>
        <v>0</v>
      </c>
      <c r="DB106" s="3">
        <f>DB$338</f>
        <v>0</v>
      </c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8"/>
      <c r="LZ106" s="2">
        <v>0.10892094017094001</v>
      </c>
      <c r="MA106" s="1">
        <f t="shared" si="27"/>
        <v>0</v>
      </c>
      <c r="MB106" s="1">
        <v>0</v>
      </c>
      <c r="MC106" s="2">
        <v>0.10892093999999999</v>
      </c>
      <c r="MD106" s="1">
        <f t="shared" si="28"/>
        <v>0.10892093999999999</v>
      </c>
      <c r="ME106" s="1">
        <f t="shared" si="29"/>
        <v>0.10892093999999999</v>
      </c>
    </row>
    <row r="107" spans="1:343" x14ac:dyDescent="0.2">
      <c r="A107" s="2">
        <v>4.5</v>
      </c>
      <c r="B107" s="7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>
        <f t="shared" si="31"/>
        <v>0</v>
      </c>
      <c r="CO107" s="3">
        <f t="shared" si="31"/>
        <v>0</v>
      </c>
      <c r="CP107" s="3">
        <f t="shared" si="31"/>
        <v>0</v>
      </c>
      <c r="CQ107" s="3">
        <f t="shared" si="31"/>
        <v>0</v>
      </c>
      <c r="CR107" s="3">
        <f t="shared" si="31"/>
        <v>0</v>
      </c>
      <c r="CS107" s="3">
        <f t="shared" si="31"/>
        <v>0</v>
      </c>
      <c r="CT107" s="3">
        <f t="shared" si="32"/>
        <v>0</v>
      </c>
      <c r="CU107" s="3">
        <f t="shared" si="32"/>
        <v>0</v>
      </c>
      <c r="CV107" s="3">
        <f t="shared" si="32"/>
        <v>0</v>
      </c>
      <c r="CW107" s="3">
        <f t="shared" si="32"/>
        <v>0</v>
      </c>
      <c r="CX107" s="3">
        <f t="shared" si="32"/>
        <v>0</v>
      </c>
      <c r="CY107" s="3">
        <f t="shared" si="32"/>
        <v>0</v>
      </c>
      <c r="CZ107" s="3">
        <f t="shared" si="32"/>
        <v>0</v>
      </c>
      <c r="DA107" s="3">
        <f t="shared" si="32"/>
        <v>0</v>
      </c>
      <c r="DB107" s="3">
        <f t="shared" si="32"/>
        <v>0</v>
      </c>
      <c r="DC107" s="3">
        <f>DC$338</f>
        <v>0</v>
      </c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8"/>
      <c r="LZ107" s="2">
        <v>0.10892094017094001</v>
      </c>
      <c r="MA107" s="1">
        <f t="shared" si="27"/>
        <v>0</v>
      </c>
      <c r="MB107" s="1">
        <v>0</v>
      </c>
      <c r="MC107" s="2">
        <v>0.10892093999999999</v>
      </c>
      <c r="MD107" s="1">
        <f t="shared" si="28"/>
        <v>0.10892093999999999</v>
      </c>
      <c r="ME107" s="1">
        <f t="shared" si="29"/>
        <v>0.10892093999999999</v>
      </c>
    </row>
    <row r="108" spans="1:343" x14ac:dyDescent="0.2">
      <c r="A108" s="2">
        <v>5</v>
      </c>
      <c r="B108" s="7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>
        <f t="shared" si="31"/>
        <v>0</v>
      </c>
      <c r="CP108" s="3">
        <f t="shared" si="31"/>
        <v>0</v>
      </c>
      <c r="CQ108" s="3">
        <f t="shared" si="31"/>
        <v>0</v>
      </c>
      <c r="CR108" s="3">
        <f t="shared" si="31"/>
        <v>0</v>
      </c>
      <c r="CS108" s="3">
        <f t="shared" si="31"/>
        <v>0</v>
      </c>
      <c r="CT108" s="3">
        <f t="shared" si="32"/>
        <v>0</v>
      </c>
      <c r="CU108" s="3">
        <f t="shared" si="32"/>
        <v>0</v>
      </c>
      <c r="CV108" s="3">
        <f t="shared" si="32"/>
        <v>0</v>
      </c>
      <c r="CW108" s="3">
        <f t="shared" si="32"/>
        <v>0</v>
      </c>
      <c r="CX108" s="3">
        <f t="shared" si="32"/>
        <v>0</v>
      </c>
      <c r="CY108" s="3">
        <f t="shared" si="32"/>
        <v>0</v>
      </c>
      <c r="CZ108" s="3">
        <f t="shared" si="32"/>
        <v>0</v>
      </c>
      <c r="DA108" s="3">
        <f t="shared" si="32"/>
        <v>0</v>
      </c>
      <c r="DB108" s="3">
        <f t="shared" si="32"/>
        <v>0</v>
      </c>
      <c r="DC108" s="3">
        <f t="shared" si="32"/>
        <v>0</v>
      </c>
      <c r="DD108" s="3">
        <f>DD$338</f>
        <v>0</v>
      </c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8"/>
      <c r="LZ108" s="2">
        <v>9.6420940170940203E-2</v>
      </c>
      <c r="MA108" s="1">
        <f t="shared" si="27"/>
        <v>0</v>
      </c>
      <c r="MB108" s="1">
        <v>0</v>
      </c>
      <c r="MC108" s="2">
        <v>9.6420939999999997E-2</v>
      </c>
      <c r="MD108" s="1">
        <f t="shared" si="28"/>
        <v>9.6420939999999997E-2</v>
      </c>
      <c r="ME108" s="1">
        <f t="shared" si="29"/>
        <v>9.6420939999999997E-2</v>
      </c>
    </row>
    <row r="109" spans="1:343" x14ac:dyDescent="0.2">
      <c r="A109" s="2">
        <v>5.5</v>
      </c>
      <c r="B109" s="7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>
        <f t="shared" si="31"/>
        <v>0</v>
      </c>
      <c r="CQ109" s="3">
        <f t="shared" si="31"/>
        <v>0</v>
      </c>
      <c r="CR109" s="3">
        <f t="shared" si="31"/>
        <v>0</v>
      </c>
      <c r="CS109" s="3">
        <f t="shared" si="31"/>
        <v>0</v>
      </c>
      <c r="CT109" s="3">
        <f t="shared" si="32"/>
        <v>0</v>
      </c>
      <c r="CU109" s="3">
        <f t="shared" si="32"/>
        <v>0</v>
      </c>
      <c r="CV109" s="3">
        <f t="shared" si="32"/>
        <v>0</v>
      </c>
      <c r="CW109" s="3">
        <f t="shared" si="32"/>
        <v>0</v>
      </c>
      <c r="CX109" s="3">
        <f t="shared" si="32"/>
        <v>0</v>
      </c>
      <c r="CY109" s="3">
        <f t="shared" si="32"/>
        <v>0</v>
      </c>
      <c r="CZ109" s="3">
        <f t="shared" si="32"/>
        <v>0</v>
      </c>
      <c r="DA109" s="3">
        <f t="shared" si="32"/>
        <v>0</v>
      </c>
      <c r="DB109" s="3">
        <f t="shared" si="32"/>
        <v>0</v>
      </c>
      <c r="DC109" s="3">
        <f t="shared" si="32"/>
        <v>0</v>
      </c>
      <c r="DD109" s="3">
        <f t="shared" si="32"/>
        <v>0</v>
      </c>
      <c r="DE109" s="3">
        <f>DE$338</f>
        <v>0</v>
      </c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8"/>
      <c r="LZ109" s="2">
        <v>9.6420940170940203E-2</v>
      </c>
      <c r="MA109" s="1">
        <f t="shared" si="27"/>
        <v>0</v>
      </c>
      <c r="MB109" s="1">
        <v>0</v>
      </c>
      <c r="MC109" s="2">
        <v>9.6420939999999997E-2</v>
      </c>
      <c r="MD109" s="1">
        <f t="shared" si="28"/>
        <v>9.6420939999999997E-2</v>
      </c>
      <c r="ME109" s="1">
        <f t="shared" si="29"/>
        <v>9.6420939999999997E-2</v>
      </c>
    </row>
    <row r="110" spans="1:343" x14ac:dyDescent="0.2">
      <c r="A110" s="2">
        <v>6</v>
      </c>
      <c r="B110" s="7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>
        <f t="shared" si="31"/>
        <v>0</v>
      </c>
      <c r="CR110" s="3">
        <f t="shared" si="31"/>
        <v>0</v>
      </c>
      <c r="CS110" s="3">
        <f t="shared" si="31"/>
        <v>0</v>
      </c>
      <c r="CT110" s="3">
        <f t="shared" si="32"/>
        <v>0</v>
      </c>
      <c r="CU110" s="3">
        <f t="shared" si="32"/>
        <v>0</v>
      </c>
      <c r="CV110" s="3">
        <f t="shared" si="32"/>
        <v>0</v>
      </c>
      <c r="CW110" s="3">
        <f t="shared" si="32"/>
        <v>0</v>
      </c>
      <c r="CX110" s="3">
        <f t="shared" si="32"/>
        <v>0</v>
      </c>
      <c r="CY110" s="3">
        <f t="shared" si="32"/>
        <v>0</v>
      </c>
      <c r="CZ110" s="3">
        <f t="shared" si="32"/>
        <v>0</v>
      </c>
      <c r="DA110" s="3">
        <f t="shared" si="32"/>
        <v>0</v>
      </c>
      <c r="DB110" s="3">
        <f t="shared" si="32"/>
        <v>0</v>
      </c>
      <c r="DC110" s="3">
        <f t="shared" si="32"/>
        <v>0</v>
      </c>
      <c r="DD110" s="3">
        <f t="shared" si="32"/>
        <v>0</v>
      </c>
      <c r="DE110" s="3">
        <f t="shared" si="32"/>
        <v>0</v>
      </c>
      <c r="DF110" s="3">
        <f>DF$338</f>
        <v>0</v>
      </c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8"/>
      <c r="LZ110" s="2">
        <v>7.7403846153846198E-2</v>
      </c>
      <c r="MA110" s="1">
        <f t="shared" si="27"/>
        <v>0</v>
      </c>
      <c r="MB110" s="1">
        <v>0</v>
      </c>
      <c r="MC110" s="2">
        <v>7.7403845999999998E-2</v>
      </c>
      <c r="MD110" s="1">
        <f t="shared" si="28"/>
        <v>7.7403845999999998E-2</v>
      </c>
      <c r="ME110" s="1">
        <f t="shared" si="29"/>
        <v>7.7403845999999998E-2</v>
      </c>
    </row>
    <row r="111" spans="1:343" x14ac:dyDescent="0.2">
      <c r="A111" s="2">
        <v>6.5</v>
      </c>
      <c r="B111" s="7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>
        <f t="shared" si="31"/>
        <v>0</v>
      </c>
      <c r="CS111" s="3">
        <f t="shared" si="31"/>
        <v>0</v>
      </c>
      <c r="CT111" s="3">
        <f t="shared" si="32"/>
        <v>0</v>
      </c>
      <c r="CU111" s="3">
        <f t="shared" si="32"/>
        <v>0</v>
      </c>
      <c r="CV111" s="3">
        <f t="shared" si="32"/>
        <v>0</v>
      </c>
      <c r="CW111" s="3">
        <f t="shared" si="32"/>
        <v>0</v>
      </c>
      <c r="CX111" s="3">
        <f t="shared" si="32"/>
        <v>0</v>
      </c>
      <c r="CY111" s="3">
        <f t="shared" si="32"/>
        <v>0</v>
      </c>
      <c r="CZ111" s="3">
        <f t="shared" si="32"/>
        <v>0</v>
      </c>
      <c r="DA111" s="3">
        <f t="shared" si="32"/>
        <v>0</v>
      </c>
      <c r="DB111" s="3">
        <f t="shared" si="32"/>
        <v>0</v>
      </c>
      <c r="DC111" s="3">
        <f t="shared" si="32"/>
        <v>0</v>
      </c>
      <c r="DD111" s="3">
        <f t="shared" si="32"/>
        <v>0</v>
      </c>
      <c r="DE111" s="3">
        <f t="shared" si="32"/>
        <v>0</v>
      </c>
      <c r="DF111" s="3">
        <f t="shared" si="32"/>
        <v>0</v>
      </c>
      <c r="DG111" s="3">
        <f>DG$338</f>
        <v>0</v>
      </c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8"/>
      <c r="LZ111" s="2">
        <v>7.7403846153846198E-2</v>
      </c>
      <c r="MA111" s="1">
        <f t="shared" si="27"/>
        <v>0</v>
      </c>
      <c r="MB111" s="1">
        <v>0</v>
      </c>
      <c r="MC111" s="2">
        <v>7.7403845999999998E-2</v>
      </c>
      <c r="MD111" s="1">
        <f t="shared" si="28"/>
        <v>7.7403845999999998E-2</v>
      </c>
      <c r="ME111" s="1">
        <f t="shared" si="29"/>
        <v>7.7403845999999998E-2</v>
      </c>
    </row>
    <row r="112" spans="1:343" x14ac:dyDescent="0.2">
      <c r="A112" s="2">
        <v>7</v>
      </c>
      <c r="B112" s="7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>
        <f t="shared" si="31"/>
        <v>0</v>
      </c>
      <c r="CT112" s="3">
        <f t="shared" si="32"/>
        <v>0</v>
      </c>
      <c r="CU112" s="3">
        <f t="shared" si="32"/>
        <v>0</v>
      </c>
      <c r="CV112" s="3">
        <f t="shared" si="32"/>
        <v>0</v>
      </c>
      <c r="CW112" s="3">
        <f t="shared" si="32"/>
        <v>0</v>
      </c>
      <c r="CX112" s="3">
        <f t="shared" si="32"/>
        <v>0</v>
      </c>
      <c r="CY112" s="3">
        <f t="shared" si="32"/>
        <v>0</v>
      </c>
      <c r="CZ112" s="3">
        <f t="shared" si="32"/>
        <v>0</v>
      </c>
      <c r="DA112" s="3">
        <f t="shared" si="32"/>
        <v>0</v>
      </c>
      <c r="DB112" s="3">
        <f t="shared" si="32"/>
        <v>0</v>
      </c>
      <c r="DC112" s="3">
        <f t="shared" si="32"/>
        <v>0</v>
      </c>
      <c r="DD112" s="3">
        <f t="shared" si="32"/>
        <v>0</v>
      </c>
      <c r="DE112" s="3">
        <f t="shared" si="32"/>
        <v>0</v>
      </c>
      <c r="DF112" s="3">
        <f t="shared" si="32"/>
        <v>0</v>
      </c>
      <c r="DG112" s="3">
        <f t="shared" si="32"/>
        <v>0</v>
      </c>
      <c r="DH112" s="3">
        <f>DH$338</f>
        <v>0</v>
      </c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8"/>
      <c r="LZ112" s="2">
        <v>8.2015669515669506E-2</v>
      </c>
      <c r="MA112" s="1">
        <f t="shared" si="27"/>
        <v>0</v>
      </c>
      <c r="MB112" s="1">
        <v>0</v>
      </c>
      <c r="MC112" s="2">
        <v>8.2015669999999999E-2</v>
      </c>
      <c r="MD112" s="1">
        <f t="shared" si="28"/>
        <v>8.2015669999999999E-2</v>
      </c>
      <c r="ME112" s="1">
        <f t="shared" si="29"/>
        <v>8.2015669999999999E-2</v>
      </c>
    </row>
    <row r="113" spans="1:343" x14ac:dyDescent="0.2">
      <c r="A113" s="2">
        <v>7.5</v>
      </c>
      <c r="B113" s="7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>
        <f t="shared" si="32"/>
        <v>0</v>
      </c>
      <c r="CU113" s="3">
        <f t="shared" si="32"/>
        <v>0</v>
      </c>
      <c r="CV113" s="3">
        <f t="shared" si="32"/>
        <v>0</v>
      </c>
      <c r="CW113" s="3">
        <f t="shared" si="32"/>
        <v>0</v>
      </c>
      <c r="CX113" s="3">
        <f t="shared" si="32"/>
        <v>0</v>
      </c>
      <c r="CY113" s="3">
        <f t="shared" si="32"/>
        <v>0</v>
      </c>
      <c r="CZ113" s="3">
        <f t="shared" si="32"/>
        <v>0</v>
      </c>
      <c r="DA113" s="3">
        <f t="shared" si="32"/>
        <v>0</v>
      </c>
      <c r="DB113" s="3">
        <f t="shared" si="32"/>
        <v>0</v>
      </c>
      <c r="DC113" s="3">
        <f t="shared" si="32"/>
        <v>0</v>
      </c>
      <c r="DD113" s="3">
        <f t="shared" si="32"/>
        <v>0</v>
      </c>
      <c r="DE113" s="3">
        <f t="shared" si="32"/>
        <v>0</v>
      </c>
      <c r="DF113" s="3">
        <f t="shared" si="32"/>
        <v>0</v>
      </c>
      <c r="DG113" s="3">
        <f t="shared" si="32"/>
        <v>0</v>
      </c>
      <c r="DH113" s="3">
        <f t="shared" si="32"/>
        <v>0</v>
      </c>
      <c r="DI113" s="3">
        <f>DI$338</f>
        <v>0</v>
      </c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8"/>
      <c r="LZ113" s="2">
        <v>8.2015669515669506E-2</v>
      </c>
      <c r="MA113" s="1">
        <f t="shared" si="27"/>
        <v>0</v>
      </c>
      <c r="MB113" s="1">
        <v>0</v>
      </c>
      <c r="MC113" s="2">
        <v>8.2015669999999999E-2</v>
      </c>
      <c r="MD113" s="1">
        <f t="shared" si="28"/>
        <v>8.2015669999999999E-2</v>
      </c>
      <c r="ME113" s="1">
        <f t="shared" si="29"/>
        <v>8.2015669999999999E-2</v>
      </c>
    </row>
    <row r="114" spans="1:343" x14ac:dyDescent="0.2">
      <c r="A114" s="2">
        <v>8</v>
      </c>
      <c r="B114" s="7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>
        <f t="shared" si="32"/>
        <v>0</v>
      </c>
      <c r="CV114" s="3">
        <f t="shared" si="32"/>
        <v>0</v>
      </c>
      <c r="CW114" s="3">
        <f t="shared" si="32"/>
        <v>0</v>
      </c>
      <c r="CX114" s="3">
        <f t="shared" si="32"/>
        <v>0</v>
      </c>
      <c r="CY114" s="3">
        <f t="shared" si="32"/>
        <v>0</v>
      </c>
      <c r="CZ114" s="3">
        <f t="shared" si="32"/>
        <v>0</v>
      </c>
      <c r="DA114" s="3">
        <f t="shared" si="32"/>
        <v>0</v>
      </c>
      <c r="DB114" s="3">
        <f t="shared" si="32"/>
        <v>0</v>
      </c>
      <c r="DC114" s="3">
        <f t="shared" si="32"/>
        <v>0</v>
      </c>
      <c r="DD114" s="3">
        <f t="shared" si="32"/>
        <v>0</v>
      </c>
      <c r="DE114" s="3">
        <f t="shared" si="32"/>
        <v>0</v>
      </c>
      <c r="DF114" s="3">
        <f t="shared" si="32"/>
        <v>0</v>
      </c>
      <c r="DG114" s="3">
        <f t="shared" si="32"/>
        <v>0</v>
      </c>
      <c r="DH114" s="3">
        <f t="shared" si="32"/>
        <v>0</v>
      </c>
      <c r="DI114" s="3">
        <f t="shared" si="32"/>
        <v>0</v>
      </c>
      <c r="DJ114" s="3">
        <f>DJ$338</f>
        <v>0</v>
      </c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8"/>
      <c r="LZ114" s="2">
        <v>0.110915242165242</v>
      </c>
      <c r="MA114" s="1">
        <f t="shared" si="27"/>
        <v>0</v>
      </c>
      <c r="MB114" s="1">
        <v>0</v>
      </c>
      <c r="MC114" s="2">
        <v>0.11091524</v>
      </c>
      <c r="MD114" s="1">
        <f t="shared" si="28"/>
        <v>0.11091524</v>
      </c>
      <c r="ME114" s="1">
        <f t="shared" si="29"/>
        <v>0.11091524</v>
      </c>
    </row>
    <row r="115" spans="1:343" x14ac:dyDescent="0.2">
      <c r="A115" s="2">
        <v>8.5</v>
      </c>
      <c r="B115" s="7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>
        <f t="shared" si="32"/>
        <v>0</v>
      </c>
      <c r="CW115" s="3">
        <f t="shared" si="32"/>
        <v>0</v>
      </c>
      <c r="CX115" s="3">
        <f t="shared" si="32"/>
        <v>0</v>
      </c>
      <c r="CY115" s="3">
        <f t="shared" si="32"/>
        <v>0</v>
      </c>
      <c r="CZ115" s="3">
        <f t="shared" si="32"/>
        <v>0</v>
      </c>
      <c r="DA115" s="3">
        <f t="shared" si="32"/>
        <v>0</v>
      </c>
      <c r="DB115" s="3">
        <f t="shared" si="32"/>
        <v>0</v>
      </c>
      <c r="DC115" s="3">
        <f t="shared" si="32"/>
        <v>0</v>
      </c>
      <c r="DD115" s="3">
        <f t="shared" si="32"/>
        <v>0</v>
      </c>
      <c r="DE115" s="3">
        <f t="shared" si="32"/>
        <v>0</v>
      </c>
      <c r="DF115" s="3">
        <f t="shared" si="32"/>
        <v>0</v>
      </c>
      <c r="DG115" s="3">
        <f t="shared" si="32"/>
        <v>0</v>
      </c>
      <c r="DH115" s="3">
        <f t="shared" si="32"/>
        <v>0</v>
      </c>
      <c r="DI115" s="3">
        <f t="shared" si="32"/>
        <v>0</v>
      </c>
      <c r="DJ115" s="3">
        <f t="shared" si="32"/>
        <v>0</v>
      </c>
      <c r="DK115" s="3">
        <f>DK$338</f>
        <v>0</v>
      </c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8"/>
      <c r="LZ115" s="2">
        <v>0.110915242165242</v>
      </c>
      <c r="MA115" s="1">
        <f t="shared" si="27"/>
        <v>0</v>
      </c>
      <c r="MB115" s="1">
        <v>0</v>
      </c>
      <c r="MC115" s="2">
        <v>0.11091524</v>
      </c>
      <c r="MD115" s="1">
        <f t="shared" si="28"/>
        <v>0.11091524</v>
      </c>
      <c r="ME115" s="1">
        <f t="shared" si="29"/>
        <v>0.11091524</v>
      </c>
    </row>
    <row r="116" spans="1:343" x14ac:dyDescent="0.2">
      <c r="A116" s="2">
        <v>9</v>
      </c>
      <c r="B116" s="7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>
        <f t="shared" si="32"/>
        <v>0</v>
      </c>
      <c r="CX116" s="3">
        <f t="shared" si="32"/>
        <v>0</v>
      </c>
      <c r="CY116" s="3">
        <f t="shared" si="32"/>
        <v>0</v>
      </c>
      <c r="CZ116" s="3">
        <f t="shared" si="32"/>
        <v>0</v>
      </c>
      <c r="DA116" s="3">
        <f t="shared" si="32"/>
        <v>0</v>
      </c>
      <c r="DB116" s="3">
        <f t="shared" si="32"/>
        <v>0</v>
      </c>
      <c r="DC116" s="3">
        <f t="shared" si="32"/>
        <v>0</v>
      </c>
      <c r="DD116" s="3">
        <f t="shared" si="32"/>
        <v>0</v>
      </c>
      <c r="DE116" s="3">
        <f t="shared" si="32"/>
        <v>0</v>
      </c>
      <c r="DF116" s="3">
        <f t="shared" si="32"/>
        <v>0</v>
      </c>
      <c r="DG116" s="3">
        <f t="shared" si="32"/>
        <v>0</v>
      </c>
      <c r="DH116" s="3">
        <f t="shared" si="32"/>
        <v>0</v>
      </c>
      <c r="DI116" s="3">
        <f t="shared" si="32"/>
        <v>0</v>
      </c>
      <c r="DJ116" s="3">
        <f t="shared" si="32"/>
        <v>0</v>
      </c>
      <c r="DK116" s="3">
        <f t="shared" si="32"/>
        <v>0</v>
      </c>
      <c r="DL116" s="3">
        <f>DL$338</f>
        <v>0</v>
      </c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8"/>
      <c r="LZ116" s="2">
        <v>0.181962250712251</v>
      </c>
      <c r="MA116" s="1">
        <f t="shared" si="27"/>
        <v>0</v>
      </c>
      <c r="MB116" s="1">
        <v>0</v>
      </c>
      <c r="MC116" s="2">
        <v>0.18196224999999999</v>
      </c>
      <c r="MD116" s="1">
        <f t="shared" si="28"/>
        <v>0.18196224999999999</v>
      </c>
      <c r="ME116" s="1">
        <f t="shared" si="29"/>
        <v>0.18196224999999999</v>
      </c>
    </row>
    <row r="117" spans="1:343" x14ac:dyDescent="0.2">
      <c r="A117" s="2">
        <v>9.5</v>
      </c>
      <c r="B117" s="7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>
        <f t="shared" si="32"/>
        <v>0</v>
      </c>
      <c r="CY117" s="3">
        <f t="shared" si="32"/>
        <v>0</v>
      </c>
      <c r="CZ117" s="3">
        <f t="shared" si="32"/>
        <v>0</v>
      </c>
      <c r="DA117" s="3">
        <f t="shared" si="32"/>
        <v>0</v>
      </c>
      <c r="DB117" s="3">
        <f t="shared" si="32"/>
        <v>0</v>
      </c>
      <c r="DC117" s="3">
        <f t="shared" si="32"/>
        <v>0</v>
      </c>
      <c r="DD117" s="3">
        <f t="shared" si="32"/>
        <v>0</v>
      </c>
      <c r="DE117" s="3">
        <f t="shared" si="32"/>
        <v>0</v>
      </c>
      <c r="DF117" s="3">
        <f t="shared" si="32"/>
        <v>0</v>
      </c>
      <c r="DG117" s="3">
        <f t="shared" si="32"/>
        <v>0</v>
      </c>
      <c r="DH117" s="3">
        <f t="shared" si="32"/>
        <v>0</v>
      </c>
      <c r="DI117" s="3">
        <f t="shared" si="32"/>
        <v>0</v>
      </c>
      <c r="DJ117" s="3">
        <f t="shared" si="32"/>
        <v>0</v>
      </c>
      <c r="DK117" s="3">
        <f t="shared" si="32"/>
        <v>0</v>
      </c>
      <c r="DL117" s="3">
        <f t="shared" si="32"/>
        <v>0</v>
      </c>
      <c r="DM117" s="3">
        <f>DM$338</f>
        <v>0</v>
      </c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8"/>
      <c r="LZ117" s="2">
        <v>0.181962250712251</v>
      </c>
      <c r="MA117" s="1">
        <f t="shared" si="27"/>
        <v>0</v>
      </c>
      <c r="MB117" s="1">
        <v>0</v>
      </c>
      <c r="MC117" s="2">
        <v>0.18196224999999999</v>
      </c>
      <c r="MD117" s="1">
        <f t="shared" si="28"/>
        <v>0.18196224999999999</v>
      </c>
      <c r="ME117" s="1">
        <f t="shared" si="29"/>
        <v>0.18196224999999999</v>
      </c>
    </row>
    <row r="118" spans="1:343" x14ac:dyDescent="0.2">
      <c r="A118" s="2">
        <v>10</v>
      </c>
      <c r="B118" s="7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>
        <f t="shared" si="32"/>
        <v>0</v>
      </c>
      <c r="CZ118" s="3">
        <f t="shared" si="32"/>
        <v>0</v>
      </c>
      <c r="DA118" s="3">
        <f t="shared" si="32"/>
        <v>0</v>
      </c>
      <c r="DB118" s="3">
        <f t="shared" si="32"/>
        <v>0</v>
      </c>
      <c r="DC118" s="3">
        <f t="shared" si="32"/>
        <v>0</v>
      </c>
      <c r="DD118" s="3">
        <f t="shared" si="32"/>
        <v>0</v>
      </c>
      <c r="DE118" s="3">
        <f t="shared" si="32"/>
        <v>0</v>
      </c>
      <c r="DF118" s="3">
        <f t="shared" si="32"/>
        <v>0</v>
      </c>
      <c r="DG118" s="3">
        <f t="shared" si="32"/>
        <v>0</v>
      </c>
      <c r="DH118" s="3">
        <f t="shared" si="32"/>
        <v>0</v>
      </c>
      <c r="DI118" s="3">
        <f t="shared" si="32"/>
        <v>0</v>
      </c>
      <c r="DJ118" s="3">
        <f t="shared" si="32"/>
        <v>0</v>
      </c>
      <c r="DK118" s="3">
        <f t="shared" si="32"/>
        <v>0</v>
      </c>
      <c r="DL118" s="3">
        <f t="shared" si="32"/>
        <v>0</v>
      </c>
      <c r="DM118" s="3">
        <f t="shared" si="32"/>
        <v>0</v>
      </c>
      <c r="DN118" s="3">
        <f>DN$338</f>
        <v>0</v>
      </c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8"/>
      <c r="LZ118" s="2">
        <v>0.24522792022792</v>
      </c>
      <c r="MA118" s="1">
        <f t="shared" si="27"/>
        <v>0</v>
      </c>
      <c r="MB118" s="1">
        <v>0</v>
      </c>
      <c r="MC118" s="2">
        <v>0.24522791999999999</v>
      </c>
      <c r="MD118" s="1">
        <f t="shared" si="28"/>
        <v>0.24522791999999999</v>
      </c>
      <c r="ME118" s="1">
        <f t="shared" si="29"/>
        <v>0.24522791999999999</v>
      </c>
    </row>
    <row r="119" spans="1:343" x14ac:dyDescent="0.2">
      <c r="A119" s="2">
        <v>10.5</v>
      </c>
      <c r="B119" s="7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>
        <f t="shared" si="32"/>
        <v>0</v>
      </c>
      <c r="DA119" s="3">
        <f t="shared" si="32"/>
        <v>0</v>
      </c>
      <c r="DB119" s="3">
        <f t="shared" si="32"/>
        <v>0</v>
      </c>
      <c r="DC119" s="3">
        <f t="shared" si="32"/>
        <v>0</v>
      </c>
      <c r="DD119" s="3">
        <f t="shared" si="32"/>
        <v>0</v>
      </c>
      <c r="DE119" s="3">
        <f t="shared" si="32"/>
        <v>0</v>
      </c>
      <c r="DF119" s="3">
        <f t="shared" si="32"/>
        <v>0</v>
      </c>
      <c r="DG119" s="3">
        <f t="shared" si="32"/>
        <v>0</v>
      </c>
      <c r="DH119" s="3">
        <f t="shared" si="32"/>
        <v>0</v>
      </c>
      <c r="DI119" s="3">
        <f t="shared" si="32"/>
        <v>0</v>
      </c>
      <c r="DJ119" s="3">
        <f t="shared" si="32"/>
        <v>0</v>
      </c>
      <c r="DK119" s="3">
        <f t="shared" si="32"/>
        <v>0</v>
      </c>
      <c r="DL119" s="3">
        <f t="shared" si="32"/>
        <v>0</v>
      </c>
      <c r="DM119" s="3">
        <f t="shared" si="32"/>
        <v>0</v>
      </c>
      <c r="DN119" s="3">
        <f t="shared" si="32"/>
        <v>0</v>
      </c>
      <c r="DO119" s="3">
        <f>DO$338</f>
        <v>0</v>
      </c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8"/>
      <c r="LZ119" s="2">
        <v>0.24522792022792</v>
      </c>
      <c r="MA119" s="1">
        <f t="shared" si="27"/>
        <v>0</v>
      </c>
      <c r="MB119" s="1">
        <v>0</v>
      </c>
      <c r="MC119" s="2">
        <v>0.24522791999999999</v>
      </c>
      <c r="MD119" s="1">
        <f t="shared" si="28"/>
        <v>0.24522791999999999</v>
      </c>
      <c r="ME119" s="1">
        <f t="shared" si="29"/>
        <v>0.24522791999999999</v>
      </c>
    </row>
    <row r="120" spans="1:343" x14ac:dyDescent="0.2">
      <c r="A120" s="2">
        <v>11</v>
      </c>
      <c r="B120" s="7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>
        <f t="shared" si="32"/>
        <v>0</v>
      </c>
      <c r="DB120" s="3">
        <f t="shared" si="32"/>
        <v>0</v>
      </c>
      <c r="DC120" s="3">
        <f t="shared" si="32"/>
        <v>0</v>
      </c>
      <c r="DD120" s="3">
        <f t="shared" si="32"/>
        <v>0</v>
      </c>
      <c r="DE120" s="3">
        <f t="shared" si="32"/>
        <v>0</v>
      </c>
      <c r="DF120" s="3">
        <f t="shared" si="32"/>
        <v>0</v>
      </c>
      <c r="DG120" s="3">
        <f t="shared" si="32"/>
        <v>0</v>
      </c>
      <c r="DH120" s="3">
        <f t="shared" si="32"/>
        <v>0</v>
      </c>
      <c r="DI120" s="3">
        <f t="shared" si="32"/>
        <v>0</v>
      </c>
      <c r="DJ120" s="3">
        <f t="shared" si="32"/>
        <v>0</v>
      </c>
      <c r="DK120" s="3">
        <f t="shared" si="32"/>
        <v>0</v>
      </c>
      <c r="DL120" s="3">
        <f t="shared" si="32"/>
        <v>0</v>
      </c>
      <c r="DM120" s="3">
        <f t="shared" si="32"/>
        <v>0</v>
      </c>
      <c r="DN120" s="3">
        <f t="shared" si="32"/>
        <v>0</v>
      </c>
      <c r="DO120" s="3">
        <f t="shared" si="32"/>
        <v>0</v>
      </c>
      <c r="DP120" s="3">
        <f>DP$338</f>
        <v>0</v>
      </c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8"/>
      <c r="LZ120" s="2">
        <v>0.29683048433048398</v>
      </c>
      <c r="MA120" s="1">
        <f t="shared" si="27"/>
        <v>0</v>
      </c>
      <c r="MB120" s="1">
        <v>0</v>
      </c>
      <c r="MC120" s="2">
        <v>0.29683048000000001</v>
      </c>
      <c r="MD120" s="1">
        <f t="shared" si="28"/>
        <v>0.29683048000000001</v>
      </c>
      <c r="ME120" s="1">
        <f t="shared" si="29"/>
        <v>0.29683048000000001</v>
      </c>
    </row>
    <row r="121" spans="1:343" x14ac:dyDescent="0.2">
      <c r="A121" s="2">
        <v>11.5</v>
      </c>
      <c r="B121" s="7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>
        <f t="shared" si="32"/>
        <v>0</v>
      </c>
      <c r="DC121" s="3">
        <f t="shared" si="32"/>
        <v>0</v>
      </c>
      <c r="DD121" s="3">
        <f t="shared" si="32"/>
        <v>0</v>
      </c>
      <c r="DE121" s="3">
        <f t="shared" si="32"/>
        <v>0</v>
      </c>
      <c r="DF121" s="3">
        <f t="shared" si="32"/>
        <v>0</v>
      </c>
      <c r="DG121" s="3">
        <f t="shared" si="32"/>
        <v>0</v>
      </c>
      <c r="DH121" s="3">
        <f t="shared" si="32"/>
        <v>0</v>
      </c>
      <c r="DI121" s="3">
        <f t="shared" si="32"/>
        <v>0</v>
      </c>
      <c r="DJ121" s="3">
        <f t="shared" si="32"/>
        <v>0</v>
      </c>
      <c r="DK121" s="3">
        <f t="shared" si="32"/>
        <v>0</v>
      </c>
      <c r="DL121" s="3">
        <f t="shared" si="32"/>
        <v>0</v>
      </c>
      <c r="DM121" s="3">
        <f t="shared" si="32"/>
        <v>0</v>
      </c>
      <c r="DN121" s="3">
        <f t="shared" si="32"/>
        <v>0</v>
      </c>
      <c r="DO121" s="3">
        <f t="shared" si="32"/>
        <v>0</v>
      </c>
      <c r="DP121" s="3">
        <f t="shared" si="32"/>
        <v>0</v>
      </c>
      <c r="DQ121" s="3">
        <f>DQ$338</f>
        <v>0</v>
      </c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8"/>
      <c r="LZ121" s="2">
        <v>0.29683048433048398</v>
      </c>
      <c r="MA121" s="1">
        <f t="shared" si="27"/>
        <v>0</v>
      </c>
      <c r="MB121" s="1">
        <v>0</v>
      </c>
      <c r="MC121" s="2">
        <v>0.29683048000000001</v>
      </c>
      <c r="MD121" s="1">
        <f t="shared" si="28"/>
        <v>0.29683048000000001</v>
      </c>
      <c r="ME121" s="1">
        <f t="shared" si="29"/>
        <v>0.29683048000000001</v>
      </c>
    </row>
    <row r="122" spans="1:343" x14ac:dyDescent="0.2">
      <c r="A122" s="2">
        <v>12</v>
      </c>
      <c r="B122" s="7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>
        <f t="shared" si="32"/>
        <v>0</v>
      </c>
      <c r="DD122" s="3">
        <f t="shared" si="32"/>
        <v>0</v>
      </c>
      <c r="DE122" s="3">
        <f t="shared" si="32"/>
        <v>0</v>
      </c>
      <c r="DF122" s="3">
        <f t="shared" si="32"/>
        <v>0</v>
      </c>
      <c r="DG122" s="3">
        <f t="shared" si="32"/>
        <v>0</v>
      </c>
      <c r="DH122" s="3">
        <f t="shared" si="32"/>
        <v>0</v>
      </c>
      <c r="DI122" s="3">
        <f t="shared" si="32"/>
        <v>0</v>
      </c>
      <c r="DJ122" s="3">
        <f t="shared" si="32"/>
        <v>0</v>
      </c>
      <c r="DK122" s="3">
        <f t="shared" si="32"/>
        <v>0</v>
      </c>
      <c r="DL122" s="3">
        <f t="shared" si="32"/>
        <v>0</v>
      </c>
      <c r="DM122" s="3">
        <f t="shared" si="32"/>
        <v>0</v>
      </c>
      <c r="DN122" s="3">
        <f t="shared" si="32"/>
        <v>0</v>
      </c>
      <c r="DO122" s="3">
        <f t="shared" si="32"/>
        <v>0</v>
      </c>
      <c r="DP122" s="3">
        <f t="shared" si="32"/>
        <v>0</v>
      </c>
      <c r="DQ122" s="3">
        <f t="shared" si="32"/>
        <v>0</v>
      </c>
      <c r="DR122" s="3">
        <f>DR$338</f>
        <v>0</v>
      </c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8"/>
      <c r="LZ122" s="2">
        <v>0.344907407407407</v>
      </c>
      <c r="MA122" s="1">
        <f t="shared" si="27"/>
        <v>0</v>
      </c>
      <c r="MB122" s="1">
        <v>0</v>
      </c>
      <c r="MC122" s="2">
        <v>0.34490741000000003</v>
      </c>
      <c r="MD122" s="1">
        <f t="shared" si="28"/>
        <v>0.34490741000000003</v>
      </c>
      <c r="ME122" s="1">
        <f t="shared" si="29"/>
        <v>0.34490741000000003</v>
      </c>
    </row>
    <row r="123" spans="1:343" x14ac:dyDescent="0.2">
      <c r="A123" s="2">
        <v>12.5</v>
      </c>
      <c r="B123" s="7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>
        <f t="shared" ref="DD123:DY144" si="33">DD$338</f>
        <v>0</v>
      </c>
      <c r="DE123" s="3">
        <f t="shared" si="33"/>
        <v>0</v>
      </c>
      <c r="DF123" s="3">
        <f t="shared" si="33"/>
        <v>0</v>
      </c>
      <c r="DG123" s="3">
        <f t="shared" si="33"/>
        <v>0</v>
      </c>
      <c r="DH123" s="3">
        <f t="shared" si="33"/>
        <v>0</v>
      </c>
      <c r="DI123" s="3">
        <f t="shared" si="33"/>
        <v>0</v>
      </c>
      <c r="DJ123" s="3">
        <f t="shared" si="33"/>
        <v>0</v>
      </c>
      <c r="DK123" s="3">
        <f t="shared" si="33"/>
        <v>0</v>
      </c>
      <c r="DL123" s="3">
        <f t="shared" si="33"/>
        <v>0</v>
      </c>
      <c r="DM123" s="3">
        <f t="shared" si="33"/>
        <v>0</v>
      </c>
      <c r="DN123" s="3">
        <f t="shared" si="33"/>
        <v>0</v>
      </c>
      <c r="DO123" s="3">
        <f t="shared" si="33"/>
        <v>0</v>
      </c>
      <c r="DP123" s="3">
        <f t="shared" si="33"/>
        <v>0</v>
      </c>
      <c r="DQ123" s="3">
        <f t="shared" si="33"/>
        <v>0</v>
      </c>
      <c r="DR123" s="3">
        <f t="shared" si="33"/>
        <v>0</v>
      </c>
      <c r="DS123" s="3">
        <f>DS$338</f>
        <v>0</v>
      </c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8"/>
      <c r="LZ123" s="2">
        <v>0.344907407407407</v>
      </c>
      <c r="MA123" s="1">
        <f t="shared" si="27"/>
        <v>0</v>
      </c>
      <c r="MB123" s="1">
        <v>0</v>
      </c>
      <c r="MC123" s="2">
        <v>0.34490741000000003</v>
      </c>
      <c r="MD123" s="1">
        <f t="shared" si="28"/>
        <v>0.34490741000000003</v>
      </c>
      <c r="ME123" s="1">
        <f t="shared" si="29"/>
        <v>0.34490741000000003</v>
      </c>
    </row>
    <row r="124" spans="1:343" x14ac:dyDescent="0.2">
      <c r="A124" s="2">
        <v>13</v>
      </c>
      <c r="B124" s="7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>
        <f t="shared" si="33"/>
        <v>0</v>
      </c>
      <c r="DF124" s="3">
        <f t="shared" si="33"/>
        <v>0</v>
      </c>
      <c r="DG124" s="3">
        <f t="shared" si="33"/>
        <v>0</v>
      </c>
      <c r="DH124" s="3">
        <f t="shared" si="33"/>
        <v>0</v>
      </c>
      <c r="DI124" s="3">
        <f t="shared" si="33"/>
        <v>0</v>
      </c>
      <c r="DJ124" s="3">
        <f t="shared" si="33"/>
        <v>0</v>
      </c>
      <c r="DK124" s="3">
        <f t="shared" si="33"/>
        <v>0</v>
      </c>
      <c r="DL124" s="3">
        <f t="shared" si="33"/>
        <v>0</v>
      </c>
      <c r="DM124" s="3">
        <f t="shared" si="33"/>
        <v>0</v>
      </c>
      <c r="DN124" s="3">
        <f t="shared" si="33"/>
        <v>0</v>
      </c>
      <c r="DO124" s="3">
        <f t="shared" si="33"/>
        <v>0</v>
      </c>
      <c r="DP124" s="3">
        <f t="shared" si="33"/>
        <v>0</v>
      </c>
      <c r="DQ124" s="3">
        <f t="shared" si="33"/>
        <v>0</v>
      </c>
      <c r="DR124" s="3">
        <f t="shared" si="33"/>
        <v>0</v>
      </c>
      <c r="DS124" s="3">
        <f t="shared" si="33"/>
        <v>0</v>
      </c>
      <c r="DT124" s="3">
        <f>DT$338</f>
        <v>0</v>
      </c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8"/>
      <c r="LZ124" s="2">
        <v>0.36951566951567</v>
      </c>
      <c r="MA124" s="1">
        <f t="shared" si="27"/>
        <v>0</v>
      </c>
      <c r="MB124" s="1">
        <v>0</v>
      </c>
      <c r="MC124" s="2">
        <v>0.36951567000000002</v>
      </c>
      <c r="MD124" s="1">
        <f t="shared" si="28"/>
        <v>0.36951567000000002</v>
      </c>
      <c r="ME124" s="1">
        <f t="shared" si="29"/>
        <v>0.36951567000000002</v>
      </c>
    </row>
    <row r="125" spans="1:343" x14ac:dyDescent="0.2">
      <c r="A125" s="2">
        <v>13.5</v>
      </c>
      <c r="B125" s="7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>
        <f t="shared" si="33"/>
        <v>0</v>
      </c>
      <c r="DG125" s="3">
        <f t="shared" si="33"/>
        <v>0</v>
      </c>
      <c r="DH125" s="3">
        <f t="shared" si="33"/>
        <v>0</v>
      </c>
      <c r="DI125" s="3">
        <f t="shared" si="33"/>
        <v>0</v>
      </c>
      <c r="DJ125" s="3">
        <f t="shared" si="33"/>
        <v>0</v>
      </c>
      <c r="DK125" s="3">
        <f t="shared" si="33"/>
        <v>0</v>
      </c>
      <c r="DL125" s="3">
        <f t="shared" si="33"/>
        <v>0</v>
      </c>
      <c r="DM125" s="3">
        <f t="shared" si="33"/>
        <v>0</v>
      </c>
      <c r="DN125" s="3">
        <f t="shared" si="33"/>
        <v>0</v>
      </c>
      <c r="DO125" s="3">
        <f t="shared" si="33"/>
        <v>0</v>
      </c>
      <c r="DP125" s="3">
        <f t="shared" si="33"/>
        <v>0</v>
      </c>
      <c r="DQ125" s="3">
        <f t="shared" si="33"/>
        <v>0</v>
      </c>
      <c r="DR125" s="3">
        <f t="shared" si="33"/>
        <v>0</v>
      </c>
      <c r="DS125" s="3">
        <f t="shared" si="33"/>
        <v>0</v>
      </c>
      <c r="DT125" s="3">
        <f t="shared" si="33"/>
        <v>0</v>
      </c>
      <c r="DU125" s="3">
        <f>DU$338</f>
        <v>0</v>
      </c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8"/>
      <c r="LZ125" s="2">
        <v>0.36951566951567</v>
      </c>
      <c r="MA125" s="1">
        <f t="shared" si="27"/>
        <v>0</v>
      </c>
      <c r="MB125" s="1">
        <v>0</v>
      </c>
      <c r="MC125" s="2">
        <v>0.36951567000000002</v>
      </c>
      <c r="MD125" s="1">
        <f t="shared" si="28"/>
        <v>0.36951567000000002</v>
      </c>
      <c r="ME125" s="1">
        <f t="shared" si="29"/>
        <v>0.36951567000000002</v>
      </c>
    </row>
    <row r="126" spans="1:343" x14ac:dyDescent="0.2">
      <c r="A126" s="2">
        <v>14</v>
      </c>
      <c r="B126" s="7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>
        <f t="shared" si="33"/>
        <v>0</v>
      </c>
      <c r="DH126" s="3">
        <f t="shared" si="33"/>
        <v>0</v>
      </c>
      <c r="DI126" s="3">
        <f t="shared" si="33"/>
        <v>0</v>
      </c>
      <c r="DJ126" s="3">
        <f t="shared" si="33"/>
        <v>0</v>
      </c>
      <c r="DK126" s="3">
        <f t="shared" si="33"/>
        <v>0</v>
      </c>
      <c r="DL126" s="3">
        <f t="shared" si="33"/>
        <v>0</v>
      </c>
      <c r="DM126" s="3">
        <f t="shared" si="33"/>
        <v>0</v>
      </c>
      <c r="DN126" s="3">
        <f t="shared" si="33"/>
        <v>0</v>
      </c>
      <c r="DO126" s="3">
        <f t="shared" si="33"/>
        <v>0</v>
      </c>
      <c r="DP126" s="3">
        <f t="shared" si="33"/>
        <v>0</v>
      </c>
      <c r="DQ126" s="3">
        <f t="shared" si="33"/>
        <v>0</v>
      </c>
      <c r="DR126" s="3">
        <f t="shared" si="33"/>
        <v>0</v>
      </c>
      <c r="DS126" s="3">
        <f t="shared" si="33"/>
        <v>0</v>
      </c>
      <c r="DT126" s="3">
        <f t="shared" si="33"/>
        <v>0</v>
      </c>
      <c r="DU126" s="3">
        <f t="shared" si="33"/>
        <v>0</v>
      </c>
      <c r="DV126" s="3">
        <f>DV$338</f>
        <v>0</v>
      </c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8"/>
      <c r="LZ126" s="2">
        <v>0.38294159544159501</v>
      </c>
      <c r="MA126" s="1">
        <f t="shared" si="27"/>
        <v>0</v>
      </c>
      <c r="MB126" s="1">
        <v>0</v>
      </c>
      <c r="MC126" s="2">
        <v>0.38294159999999999</v>
      </c>
      <c r="MD126" s="1">
        <f t="shared" si="28"/>
        <v>0.38294159999999999</v>
      </c>
      <c r="ME126" s="1">
        <f t="shared" si="29"/>
        <v>0.38294159999999999</v>
      </c>
    </row>
    <row r="127" spans="1:343" x14ac:dyDescent="0.2">
      <c r="A127" s="2">
        <v>14.5</v>
      </c>
      <c r="B127" s="7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>
        <f t="shared" si="33"/>
        <v>0</v>
      </c>
      <c r="DI127" s="3">
        <f t="shared" si="33"/>
        <v>0</v>
      </c>
      <c r="DJ127" s="3">
        <f t="shared" si="33"/>
        <v>0</v>
      </c>
      <c r="DK127" s="3">
        <f t="shared" si="33"/>
        <v>0</v>
      </c>
      <c r="DL127" s="3">
        <f t="shared" si="33"/>
        <v>0</v>
      </c>
      <c r="DM127" s="3">
        <f t="shared" si="33"/>
        <v>0</v>
      </c>
      <c r="DN127" s="3">
        <f t="shared" si="33"/>
        <v>0</v>
      </c>
      <c r="DO127" s="3">
        <f t="shared" si="33"/>
        <v>0</v>
      </c>
      <c r="DP127" s="3">
        <f t="shared" si="33"/>
        <v>0</v>
      </c>
      <c r="DQ127" s="3">
        <f t="shared" si="33"/>
        <v>0</v>
      </c>
      <c r="DR127" s="3">
        <f t="shared" si="33"/>
        <v>0</v>
      </c>
      <c r="DS127" s="3">
        <f t="shared" si="33"/>
        <v>0</v>
      </c>
      <c r="DT127" s="3">
        <f t="shared" si="33"/>
        <v>0</v>
      </c>
      <c r="DU127" s="3">
        <f t="shared" si="33"/>
        <v>0</v>
      </c>
      <c r="DV127" s="3">
        <f t="shared" si="33"/>
        <v>0</v>
      </c>
      <c r="DW127" s="3">
        <f>DW$338</f>
        <v>0</v>
      </c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8"/>
      <c r="LZ127" s="2">
        <v>0.38294159544159501</v>
      </c>
      <c r="MA127" s="1">
        <f t="shared" si="27"/>
        <v>0</v>
      </c>
      <c r="MB127" s="1">
        <v>0</v>
      </c>
      <c r="MC127" s="2">
        <v>0.38294159999999999</v>
      </c>
      <c r="MD127" s="1">
        <f t="shared" si="28"/>
        <v>0.38294159999999999</v>
      </c>
      <c r="ME127" s="1">
        <f t="shared" si="29"/>
        <v>0.38294159999999999</v>
      </c>
    </row>
    <row r="128" spans="1:343" x14ac:dyDescent="0.2">
      <c r="A128" s="2">
        <v>15</v>
      </c>
      <c r="B128" s="7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>
        <f t="shared" si="33"/>
        <v>0</v>
      </c>
      <c r="DJ128" s="3">
        <f t="shared" si="33"/>
        <v>0</v>
      </c>
      <c r="DK128" s="3">
        <f t="shared" si="33"/>
        <v>0</v>
      </c>
      <c r="DL128" s="3">
        <f t="shared" si="33"/>
        <v>0</v>
      </c>
      <c r="DM128" s="3">
        <f t="shared" si="33"/>
        <v>0</v>
      </c>
      <c r="DN128" s="3">
        <f t="shared" si="33"/>
        <v>0</v>
      </c>
      <c r="DO128" s="3">
        <f t="shared" si="33"/>
        <v>0</v>
      </c>
      <c r="DP128" s="3">
        <f t="shared" si="33"/>
        <v>0</v>
      </c>
      <c r="DQ128" s="3">
        <f t="shared" si="33"/>
        <v>0</v>
      </c>
      <c r="DR128" s="3">
        <f t="shared" si="33"/>
        <v>0</v>
      </c>
      <c r="DS128" s="3">
        <f t="shared" si="33"/>
        <v>0</v>
      </c>
      <c r="DT128" s="3">
        <f t="shared" si="33"/>
        <v>0</v>
      </c>
      <c r="DU128" s="3">
        <f t="shared" si="33"/>
        <v>0</v>
      </c>
      <c r="DV128" s="3">
        <f t="shared" si="33"/>
        <v>0</v>
      </c>
      <c r="DW128" s="3">
        <f t="shared" si="33"/>
        <v>0</v>
      </c>
      <c r="DX128" s="3">
        <f>DX$338</f>
        <v>0</v>
      </c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8"/>
      <c r="LZ128" s="2">
        <v>0.37681623931623898</v>
      </c>
      <c r="MA128" s="1">
        <f t="shared" si="27"/>
        <v>0</v>
      </c>
      <c r="MB128" s="1">
        <v>0</v>
      </c>
      <c r="MC128" s="2">
        <v>0.37681624000000002</v>
      </c>
      <c r="MD128" s="1">
        <f t="shared" si="28"/>
        <v>0.37681624000000002</v>
      </c>
      <c r="ME128" s="1">
        <f t="shared" si="29"/>
        <v>0.37681624000000002</v>
      </c>
    </row>
    <row r="129" spans="1:343" x14ac:dyDescent="0.2">
      <c r="A129" s="2">
        <v>15.5</v>
      </c>
      <c r="B129" s="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>
        <f t="shared" si="33"/>
        <v>0</v>
      </c>
      <c r="DK129" s="3">
        <f t="shared" si="33"/>
        <v>0</v>
      </c>
      <c r="DL129" s="3">
        <f t="shared" si="33"/>
        <v>0</v>
      </c>
      <c r="DM129" s="3">
        <f t="shared" si="33"/>
        <v>0</v>
      </c>
      <c r="DN129" s="3">
        <f t="shared" si="33"/>
        <v>0</v>
      </c>
      <c r="DO129" s="3">
        <f t="shared" si="33"/>
        <v>0</v>
      </c>
      <c r="DP129" s="3">
        <f t="shared" si="33"/>
        <v>0</v>
      </c>
      <c r="DQ129" s="3">
        <f t="shared" si="33"/>
        <v>0</v>
      </c>
      <c r="DR129" s="3">
        <f t="shared" si="33"/>
        <v>0</v>
      </c>
      <c r="DS129" s="3">
        <f t="shared" si="33"/>
        <v>0</v>
      </c>
      <c r="DT129" s="3">
        <f t="shared" si="33"/>
        <v>0</v>
      </c>
      <c r="DU129" s="3">
        <f t="shared" si="33"/>
        <v>0</v>
      </c>
      <c r="DV129" s="3">
        <f t="shared" si="33"/>
        <v>0</v>
      </c>
      <c r="DW129" s="3">
        <f t="shared" si="33"/>
        <v>0</v>
      </c>
      <c r="DX129" s="3">
        <f t="shared" si="33"/>
        <v>0</v>
      </c>
      <c r="DY129" s="3">
        <f>DY$338</f>
        <v>0</v>
      </c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8"/>
      <c r="LZ129" s="2">
        <v>0.37681623931623898</v>
      </c>
      <c r="MA129" s="1">
        <f t="shared" si="27"/>
        <v>0</v>
      </c>
      <c r="MB129" s="1">
        <v>0</v>
      </c>
      <c r="MC129" s="2">
        <v>0.37681624000000002</v>
      </c>
      <c r="MD129" s="1">
        <f t="shared" si="28"/>
        <v>0.37681624000000002</v>
      </c>
      <c r="ME129" s="1">
        <f t="shared" si="29"/>
        <v>0.37681624000000002</v>
      </c>
    </row>
    <row r="130" spans="1:343" x14ac:dyDescent="0.2">
      <c r="A130" s="2">
        <v>16</v>
      </c>
      <c r="B130" s="7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>
        <f t="shared" si="33"/>
        <v>0</v>
      </c>
      <c r="DL130" s="3">
        <f t="shared" si="33"/>
        <v>0</v>
      </c>
      <c r="DM130" s="3">
        <f t="shared" si="33"/>
        <v>0</v>
      </c>
      <c r="DN130" s="3">
        <f t="shared" si="33"/>
        <v>0</v>
      </c>
      <c r="DO130" s="3">
        <f t="shared" si="33"/>
        <v>0</v>
      </c>
      <c r="DP130" s="3">
        <f t="shared" si="33"/>
        <v>0</v>
      </c>
      <c r="DQ130" s="3">
        <f t="shared" si="33"/>
        <v>0</v>
      </c>
      <c r="DR130" s="3">
        <f t="shared" si="33"/>
        <v>0</v>
      </c>
      <c r="DS130" s="3">
        <f t="shared" si="33"/>
        <v>0</v>
      </c>
      <c r="DT130" s="3">
        <f t="shared" si="33"/>
        <v>0</v>
      </c>
      <c r="DU130" s="3">
        <f t="shared" si="33"/>
        <v>0</v>
      </c>
      <c r="DV130" s="3">
        <f t="shared" si="33"/>
        <v>0</v>
      </c>
      <c r="DW130" s="3">
        <f t="shared" si="33"/>
        <v>0</v>
      </c>
      <c r="DX130" s="3">
        <f t="shared" si="33"/>
        <v>0</v>
      </c>
      <c r="DY130" s="3">
        <f t="shared" si="33"/>
        <v>0</v>
      </c>
      <c r="DZ130" s="3">
        <f>DZ$338</f>
        <v>0</v>
      </c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8"/>
      <c r="LZ130" s="2">
        <v>0.35908119658119703</v>
      </c>
      <c r="MA130" s="1">
        <f t="shared" si="27"/>
        <v>0</v>
      </c>
      <c r="MB130" s="1">
        <v>0</v>
      </c>
      <c r="MC130" s="2">
        <v>0.35908119999999999</v>
      </c>
      <c r="MD130" s="1">
        <f t="shared" si="28"/>
        <v>0.35908119999999999</v>
      </c>
      <c r="ME130" s="1">
        <f t="shared" si="29"/>
        <v>0.35908119999999999</v>
      </c>
    </row>
    <row r="131" spans="1:343" x14ac:dyDescent="0.2">
      <c r="A131" s="2">
        <v>16.5</v>
      </c>
      <c r="B131" s="7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>
        <f t="shared" si="33"/>
        <v>0</v>
      </c>
      <c r="DM131" s="3">
        <f t="shared" si="33"/>
        <v>0</v>
      </c>
      <c r="DN131" s="3">
        <f t="shared" si="33"/>
        <v>0</v>
      </c>
      <c r="DO131" s="3">
        <f t="shared" si="33"/>
        <v>0</v>
      </c>
      <c r="DP131" s="3">
        <f t="shared" si="33"/>
        <v>0</v>
      </c>
      <c r="DQ131" s="3">
        <f t="shared" si="33"/>
        <v>0</v>
      </c>
      <c r="DR131" s="3">
        <f t="shared" si="33"/>
        <v>0</v>
      </c>
      <c r="DS131" s="3">
        <f t="shared" si="33"/>
        <v>0</v>
      </c>
      <c r="DT131" s="3">
        <f t="shared" si="33"/>
        <v>0</v>
      </c>
      <c r="DU131" s="3">
        <f t="shared" si="33"/>
        <v>0</v>
      </c>
      <c r="DV131" s="3">
        <f t="shared" si="33"/>
        <v>0</v>
      </c>
      <c r="DW131" s="3">
        <f t="shared" si="33"/>
        <v>0</v>
      </c>
      <c r="DX131" s="3">
        <f t="shared" si="33"/>
        <v>0</v>
      </c>
      <c r="DY131" s="3">
        <f t="shared" si="33"/>
        <v>0</v>
      </c>
      <c r="DZ131" s="3">
        <f t="shared" ref="DZ131:EW154" si="34">DZ$338</f>
        <v>0</v>
      </c>
      <c r="EA131" s="3">
        <f>EA$338</f>
        <v>0</v>
      </c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8"/>
      <c r="LZ131" s="2">
        <v>0.35908119658119703</v>
      </c>
      <c r="MA131" s="1">
        <f t="shared" ref="MA131:MA194" si="35">SUM(B131:LY131)</f>
        <v>0</v>
      </c>
      <c r="MB131" s="1">
        <v>0</v>
      </c>
      <c r="MC131" s="2">
        <v>0.35908119999999999</v>
      </c>
      <c r="MD131" s="1">
        <f t="shared" ref="MD131:MD194" si="36">MC131-MB131+MA131</f>
        <v>0.35908119999999999</v>
      </c>
      <c r="ME131" s="1">
        <f t="shared" ref="ME131:ME194" si="37">MC131+MB131</f>
        <v>0.35908119999999999</v>
      </c>
    </row>
    <row r="132" spans="1:343" x14ac:dyDescent="0.2">
      <c r="A132" s="2">
        <v>17</v>
      </c>
      <c r="B132" s="7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>
        <f t="shared" si="33"/>
        <v>0</v>
      </c>
      <c r="DN132" s="3">
        <f t="shared" si="33"/>
        <v>0</v>
      </c>
      <c r="DO132" s="3">
        <f t="shared" si="33"/>
        <v>0</v>
      </c>
      <c r="DP132" s="3">
        <f t="shared" si="33"/>
        <v>0</v>
      </c>
      <c r="DQ132" s="3">
        <f t="shared" si="33"/>
        <v>0</v>
      </c>
      <c r="DR132" s="3">
        <f t="shared" si="33"/>
        <v>0</v>
      </c>
      <c r="DS132" s="3">
        <f t="shared" si="33"/>
        <v>0</v>
      </c>
      <c r="DT132" s="3">
        <f t="shared" si="33"/>
        <v>0</v>
      </c>
      <c r="DU132" s="3">
        <f t="shared" si="33"/>
        <v>0</v>
      </c>
      <c r="DV132" s="3">
        <f t="shared" si="33"/>
        <v>0</v>
      </c>
      <c r="DW132" s="3">
        <f t="shared" si="33"/>
        <v>0</v>
      </c>
      <c r="DX132" s="3">
        <f t="shared" si="33"/>
        <v>0</v>
      </c>
      <c r="DY132" s="3">
        <f t="shared" si="33"/>
        <v>0</v>
      </c>
      <c r="DZ132" s="3">
        <f t="shared" si="34"/>
        <v>0</v>
      </c>
      <c r="EA132" s="3">
        <f t="shared" si="34"/>
        <v>0</v>
      </c>
      <c r="EB132" s="3">
        <f>EB$338</f>
        <v>1</v>
      </c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8"/>
      <c r="LZ132" s="2">
        <v>0.41155626780626797</v>
      </c>
      <c r="MA132" s="1">
        <f t="shared" si="35"/>
        <v>1</v>
      </c>
      <c r="MB132" s="1">
        <v>0.58844373000000005</v>
      </c>
      <c r="MC132" s="2">
        <v>0</v>
      </c>
      <c r="MD132" s="1">
        <f t="shared" si="36"/>
        <v>0.41155626999999995</v>
      </c>
      <c r="ME132" s="1">
        <f t="shared" si="37"/>
        <v>0.58844373000000005</v>
      </c>
    </row>
    <row r="133" spans="1:343" x14ac:dyDescent="0.2">
      <c r="A133" s="2">
        <v>17.5</v>
      </c>
      <c r="B133" s="7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>
        <f t="shared" si="33"/>
        <v>0</v>
      </c>
      <c r="DO133" s="3">
        <f t="shared" si="33"/>
        <v>0</v>
      </c>
      <c r="DP133" s="3">
        <f t="shared" si="33"/>
        <v>0</v>
      </c>
      <c r="DQ133" s="3">
        <f t="shared" si="33"/>
        <v>0</v>
      </c>
      <c r="DR133" s="3">
        <f t="shared" si="33"/>
        <v>0</v>
      </c>
      <c r="DS133" s="3">
        <f t="shared" si="33"/>
        <v>0</v>
      </c>
      <c r="DT133" s="3">
        <f t="shared" si="33"/>
        <v>0</v>
      </c>
      <c r="DU133" s="3">
        <f t="shared" si="33"/>
        <v>0</v>
      </c>
      <c r="DV133" s="3">
        <f t="shared" si="33"/>
        <v>0</v>
      </c>
      <c r="DW133" s="3">
        <f t="shared" si="33"/>
        <v>0</v>
      </c>
      <c r="DX133" s="3">
        <f t="shared" si="33"/>
        <v>0</v>
      </c>
      <c r="DY133" s="3">
        <f t="shared" si="33"/>
        <v>0</v>
      </c>
      <c r="DZ133" s="3">
        <f t="shared" si="34"/>
        <v>0</v>
      </c>
      <c r="EA133" s="3">
        <f t="shared" si="34"/>
        <v>0</v>
      </c>
      <c r="EB133" s="3">
        <f t="shared" si="34"/>
        <v>1</v>
      </c>
      <c r="EC133" s="3">
        <f>EC$338</f>
        <v>0</v>
      </c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8"/>
      <c r="LZ133" s="2">
        <v>0.41155626780626797</v>
      </c>
      <c r="MA133" s="1">
        <f t="shared" si="35"/>
        <v>1</v>
      </c>
      <c r="MB133" s="1">
        <v>0.58844373000000005</v>
      </c>
      <c r="MC133" s="2">
        <v>0</v>
      </c>
      <c r="MD133" s="1">
        <f t="shared" si="36"/>
        <v>0.41155626999999995</v>
      </c>
      <c r="ME133" s="1">
        <f t="shared" si="37"/>
        <v>0.58844373000000005</v>
      </c>
    </row>
    <row r="134" spans="1:343" x14ac:dyDescent="0.2">
      <c r="A134" s="2">
        <v>18</v>
      </c>
      <c r="B134" s="7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>
        <f t="shared" si="33"/>
        <v>0</v>
      </c>
      <c r="DP134" s="3">
        <f t="shared" si="33"/>
        <v>0</v>
      </c>
      <c r="DQ134" s="3">
        <f t="shared" si="33"/>
        <v>0</v>
      </c>
      <c r="DR134" s="3">
        <f t="shared" si="33"/>
        <v>0</v>
      </c>
      <c r="DS134" s="3">
        <f t="shared" si="33"/>
        <v>0</v>
      </c>
      <c r="DT134" s="3">
        <f t="shared" si="33"/>
        <v>0</v>
      </c>
      <c r="DU134" s="3">
        <f t="shared" si="33"/>
        <v>0</v>
      </c>
      <c r="DV134" s="3">
        <f t="shared" si="33"/>
        <v>0</v>
      </c>
      <c r="DW134" s="3">
        <f t="shared" si="33"/>
        <v>0</v>
      </c>
      <c r="DX134" s="3">
        <f t="shared" si="33"/>
        <v>0</v>
      </c>
      <c r="DY134" s="3">
        <f t="shared" si="33"/>
        <v>0</v>
      </c>
      <c r="DZ134" s="3">
        <f t="shared" si="34"/>
        <v>0</v>
      </c>
      <c r="EA134" s="3">
        <f t="shared" si="34"/>
        <v>0</v>
      </c>
      <c r="EB134" s="3">
        <f t="shared" si="34"/>
        <v>1</v>
      </c>
      <c r="EC134" s="3">
        <f t="shared" si="34"/>
        <v>0</v>
      </c>
      <c r="ED134" s="3">
        <f>ED$338</f>
        <v>0</v>
      </c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8"/>
      <c r="LZ134" s="2">
        <v>0.54957264957264995</v>
      </c>
      <c r="MA134" s="1">
        <f t="shared" si="35"/>
        <v>1</v>
      </c>
      <c r="MB134" s="1">
        <v>0.45042735</v>
      </c>
      <c r="MC134" s="2">
        <v>0</v>
      </c>
      <c r="MD134" s="1">
        <f t="shared" si="36"/>
        <v>0.54957265</v>
      </c>
      <c r="ME134" s="1">
        <f t="shared" si="37"/>
        <v>0.45042735</v>
      </c>
    </row>
    <row r="135" spans="1:343" x14ac:dyDescent="0.2">
      <c r="A135" s="2">
        <v>18.5</v>
      </c>
      <c r="B135" s="7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>
        <f t="shared" si="33"/>
        <v>0</v>
      </c>
      <c r="DQ135" s="3">
        <f t="shared" si="33"/>
        <v>0</v>
      </c>
      <c r="DR135" s="3">
        <f t="shared" si="33"/>
        <v>0</v>
      </c>
      <c r="DS135" s="3">
        <f t="shared" si="33"/>
        <v>0</v>
      </c>
      <c r="DT135" s="3">
        <f t="shared" si="33"/>
        <v>0</v>
      </c>
      <c r="DU135" s="3">
        <f t="shared" si="33"/>
        <v>0</v>
      </c>
      <c r="DV135" s="3">
        <f t="shared" si="33"/>
        <v>0</v>
      </c>
      <c r="DW135" s="3">
        <f t="shared" si="33"/>
        <v>0</v>
      </c>
      <c r="DX135" s="3">
        <f t="shared" si="33"/>
        <v>0</v>
      </c>
      <c r="DY135" s="3">
        <f t="shared" si="33"/>
        <v>0</v>
      </c>
      <c r="DZ135" s="3">
        <f t="shared" si="34"/>
        <v>0</v>
      </c>
      <c r="EA135" s="3">
        <f t="shared" si="34"/>
        <v>0</v>
      </c>
      <c r="EB135" s="3">
        <f t="shared" si="34"/>
        <v>1</v>
      </c>
      <c r="EC135" s="3">
        <f t="shared" si="34"/>
        <v>0</v>
      </c>
      <c r="ED135" s="3">
        <f t="shared" si="34"/>
        <v>0</v>
      </c>
      <c r="EE135" s="3">
        <f>EE$338</f>
        <v>0</v>
      </c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8"/>
      <c r="LZ135" s="2">
        <v>0.54957264957264995</v>
      </c>
      <c r="MA135" s="1">
        <f t="shared" si="35"/>
        <v>1</v>
      </c>
      <c r="MB135" s="1">
        <v>0.45042735</v>
      </c>
      <c r="MC135" s="2">
        <v>0</v>
      </c>
      <c r="MD135" s="1">
        <f t="shared" si="36"/>
        <v>0.54957265</v>
      </c>
      <c r="ME135" s="1">
        <f t="shared" si="37"/>
        <v>0.45042735</v>
      </c>
    </row>
    <row r="136" spans="1:343" x14ac:dyDescent="0.2">
      <c r="A136" s="2">
        <v>19</v>
      </c>
      <c r="B136" s="7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>
        <f t="shared" si="33"/>
        <v>0</v>
      </c>
      <c r="DR136" s="3">
        <f t="shared" si="33"/>
        <v>0</v>
      </c>
      <c r="DS136" s="3">
        <f t="shared" si="33"/>
        <v>0</v>
      </c>
      <c r="DT136" s="3">
        <f t="shared" si="33"/>
        <v>0</v>
      </c>
      <c r="DU136" s="3">
        <f t="shared" si="33"/>
        <v>0</v>
      </c>
      <c r="DV136" s="3">
        <f t="shared" si="33"/>
        <v>0</v>
      </c>
      <c r="DW136" s="3">
        <f t="shared" si="33"/>
        <v>0</v>
      </c>
      <c r="DX136" s="3">
        <f t="shared" si="33"/>
        <v>0</v>
      </c>
      <c r="DY136" s="3">
        <f t="shared" si="33"/>
        <v>0</v>
      </c>
      <c r="DZ136" s="3">
        <f t="shared" si="34"/>
        <v>0</v>
      </c>
      <c r="EA136" s="3">
        <f t="shared" si="34"/>
        <v>0</v>
      </c>
      <c r="EB136" s="3">
        <f t="shared" si="34"/>
        <v>1</v>
      </c>
      <c r="EC136" s="3">
        <f t="shared" si="34"/>
        <v>0</v>
      </c>
      <c r="ED136" s="3">
        <f t="shared" si="34"/>
        <v>0</v>
      </c>
      <c r="EE136" s="3">
        <f t="shared" si="34"/>
        <v>0</v>
      </c>
      <c r="EF136" s="3">
        <f>EF$338</f>
        <v>0</v>
      </c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8"/>
      <c r="LZ136" s="2">
        <v>0.69362535612535603</v>
      </c>
      <c r="MA136" s="1">
        <f t="shared" si="35"/>
        <v>1</v>
      </c>
      <c r="MB136" s="1">
        <v>0.30637463999999998</v>
      </c>
      <c r="MC136" s="2">
        <v>0</v>
      </c>
      <c r="MD136" s="1">
        <f t="shared" si="36"/>
        <v>0.69362535999999997</v>
      </c>
      <c r="ME136" s="1">
        <f t="shared" si="37"/>
        <v>0.30637463999999998</v>
      </c>
    </row>
    <row r="137" spans="1:343" x14ac:dyDescent="0.2">
      <c r="A137" s="2">
        <v>19.5</v>
      </c>
      <c r="B137" s="7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>
        <f t="shared" si="33"/>
        <v>0</v>
      </c>
      <c r="DS137" s="3">
        <f t="shared" si="33"/>
        <v>0</v>
      </c>
      <c r="DT137" s="3">
        <f t="shared" si="33"/>
        <v>0</v>
      </c>
      <c r="DU137" s="3">
        <f t="shared" si="33"/>
        <v>0</v>
      </c>
      <c r="DV137" s="3">
        <f t="shared" si="33"/>
        <v>0</v>
      </c>
      <c r="DW137" s="3">
        <f t="shared" si="33"/>
        <v>0</v>
      </c>
      <c r="DX137" s="3">
        <f t="shared" si="33"/>
        <v>0</v>
      </c>
      <c r="DY137" s="3">
        <f t="shared" si="33"/>
        <v>0</v>
      </c>
      <c r="DZ137" s="3">
        <f t="shared" si="34"/>
        <v>0</v>
      </c>
      <c r="EA137" s="3">
        <f t="shared" si="34"/>
        <v>0</v>
      </c>
      <c r="EB137" s="3">
        <f t="shared" si="34"/>
        <v>1</v>
      </c>
      <c r="EC137" s="3">
        <f t="shared" si="34"/>
        <v>0</v>
      </c>
      <c r="ED137" s="3">
        <f t="shared" si="34"/>
        <v>0</v>
      </c>
      <c r="EE137" s="3">
        <f t="shared" si="34"/>
        <v>0</v>
      </c>
      <c r="EF137" s="3">
        <f t="shared" si="34"/>
        <v>0</v>
      </c>
      <c r="EG137" s="3">
        <f>EG$338</f>
        <v>0</v>
      </c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8"/>
      <c r="LZ137" s="2">
        <v>0.69362535612535603</v>
      </c>
      <c r="MA137" s="1">
        <f t="shared" si="35"/>
        <v>1</v>
      </c>
      <c r="MB137" s="1">
        <v>0.30637463999999998</v>
      </c>
      <c r="MC137" s="2">
        <v>0</v>
      </c>
      <c r="MD137" s="1">
        <f t="shared" si="36"/>
        <v>0.69362535999999997</v>
      </c>
      <c r="ME137" s="1">
        <f t="shared" si="37"/>
        <v>0.30637463999999998</v>
      </c>
    </row>
    <row r="138" spans="1:343" x14ac:dyDescent="0.2">
      <c r="A138" s="2">
        <v>20</v>
      </c>
      <c r="B138" s="7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>
        <f t="shared" si="33"/>
        <v>0</v>
      </c>
      <c r="DT138" s="3">
        <f t="shared" si="33"/>
        <v>0</v>
      </c>
      <c r="DU138" s="3">
        <f t="shared" si="33"/>
        <v>0</v>
      </c>
      <c r="DV138" s="3">
        <f t="shared" si="33"/>
        <v>0</v>
      </c>
      <c r="DW138" s="3">
        <f t="shared" si="33"/>
        <v>0</v>
      </c>
      <c r="DX138" s="3">
        <f t="shared" si="33"/>
        <v>0</v>
      </c>
      <c r="DY138" s="3">
        <f t="shared" si="33"/>
        <v>0</v>
      </c>
      <c r="DZ138" s="3">
        <f t="shared" si="34"/>
        <v>0</v>
      </c>
      <c r="EA138" s="3">
        <f t="shared" si="34"/>
        <v>0</v>
      </c>
      <c r="EB138" s="3">
        <f t="shared" si="34"/>
        <v>1</v>
      </c>
      <c r="EC138" s="3">
        <f t="shared" si="34"/>
        <v>0</v>
      </c>
      <c r="ED138" s="3">
        <f t="shared" si="34"/>
        <v>0</v>
      </c>
      <c r="EE138" s="3">
        <f t="shared" si="34"/>
        <v>0</v>
      </c>
      <c r="EF138" s="3">
        <f t="shared" si="34"/>
        <v>0</v>
      </c>
      <c r="EG138" s="3">
        <f t="shared" si="34"/>
        <v>0</v>
      </c>
      <c r="EH138" s="3">
        <f>EH$338</f>
        <v>0</v>
      </c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8"/>
      <c r="LZ138" s="2">
        <v>0.767254273504273</v>
      </c>
      <c r="MA138" s="1">
        <f t="shared" si="35"/>
        <v>1</v>
      </c>
      <c r="MB138" s="1">
        <v>0.23274573000000001</v>
      </c>
      <c r="MC138" s="2">
        <v>0</v>
      </c>
      <c r="MD138" s="1">
        <f t="shared" si="36"/>
        <v>0.76725427000000002</v>
      </c>
      <c r="ME138" s="1">
        <f t="shared" si="37"/>
        <v>0.23274573000000001</v>
      </c>
    </row>
    <row r="139" spans="1:343" x14ac:dyDescent="0.2">
      <c r="A139" s="2">
        <v>20.5</v>
      </c>
      <c r="B139" s="7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>
        <f t="shared" si="33"/>
        <v>0</v>
      </c>
      <c r="DU139" s="3">
        <f t="shared" si="33"/>
        <v>0</v>
      </c>
      <c r="DV139" s="3">
        <f t="shared" si="33"/>
        <v>0</v>
      </c>
      <c r="DW139" s="3">
        <f t="shared" si="33"/>
        <v>0</v>
      </c>
      <c r="DX139" s="3">
        <f t="shared" si="33"/>
        <v>0</v>
      </c>
      <c r="DY139" s="3">
        <f t="shared" si="33"/>
        <v>0</v>
      </c>
      <c r="DZ139" s="3">
        <f t="shared" si="34"/>
        <v>0</v>
      </c>
      <c r="EA139" s="3">
        <f t="shared" si="34"/>
        <v>0</v>
      </c>
      <c r="EB139" s="3">
        <f t="shared" si="34"/>
        <v>1</v>
      </c>
      <c r="EC139" s="3">
        <f t="shared" si="34"/>
        <v>0</v>
      </c>
      <c r="ED139" s="3">
        <f t="shared" si="34"/>
        <v>0</v>
      </c>
      <c r="EE139" s="3">
        <f t="shared" si="34"/>
        <v>0</v>
      </c>
      <c r="EF139" s="3">
        <f t="shared" si="34"/>
        <v>0</v>
      </c>
      <c r="EG139" s="3">
        <f t="shared" si="34"/>
        <v>0</v>
      </c>
      <c r="EH139" s="3">
        <f t="shared" si="34"/>
        <v>0</v>
      </c>
      <c r="EI139" s="3">
        <f>EI$338</f>
        <v>0</v>
      </c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8"/>
      <c r="LZ139" s="2">
        <v>0.767254273504273</v>
      </c>
      <c r="MA139" s="1">
        <f t="shared" si="35"/>
        <v>1</v>
      </c>
      <c r="MB139" s="1">
        <v>0.23274573000000001</v>
      </c>
      <c r="MC139" s="2">
        <v>0</v>
      </c>
      <c r="MD139" s="1">
        <f t="shared" si="36"/>
        <v>0.76725427000000002</v>
      </c>
      <c r="ME139" s="1">
        <f t="shared" si="37"/>
        <v>0.23274573000000001</v>
      </c>
    </row>
    <row r="140" spans="1:343" x14ac:dyDescent="0.2">
      <c r="A140" s="2">
        <v>21</v>
      </c>
      <c r="B140" s="7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>
        <f t="shared" si="33"/>
        <v>0</v>
      </c>
      <c r="DV140" s="3">
        <f t="shared" si="33"/>
        <v>0</v>
      </c>
      <c r="DW140" s="3">
        <f t="shared" si="33"/>
        <v>0</v>
      </c>
      <c r="DX140" s="3">
        <f t="shared" si="33"/>
        <v>0</v>
      </c>
      <c r="DY140" s="3">
        <f t="shared" si="33"/>
        <v>0</v>
      </c>
      <c r="DZ140" s="3">
        <f t="shared" si="34"/>
        <v>0</v>
      </c>
      <c r="EA140" s="3">
        <f t="shared" si="34"/>
        <v>0</v>
      </c>
      <c r="EB140" s="3">
        <f t="shared" si="34"/>
        <v>1</v>
      </c>
      <c r="EC140" s="3">
        <f t="shared" si="34"/>
        <v>0</v>
      </c>
      <c r="ED140" s="3">
        <f t="shared" si="34"/>
        <v>0</v>
      </c>
      <c r="EE140" s="3">
        <f t="shared" si="34"/>
        <v>0</v>
      </c>
      <c r="EF140" s="3">
        <f t="shared" si="34"/>
        <v>0</v>
      </c>
      <c r="EG140" s="3">
        <f t="shared" si="34"/>
        <v>0</v>
      </c>
      <c r="EH140" s="3">
        <f t="shared" si="34"/>
        <v>0</v>
      </c>
      <c r="EI140" s="3">
        <f t="shared" si="34"/>
        <v>0</v>
      </c>
      <c r="EJ140" s="3">
        <f>EJ$338</f>
        <v>0</v>
      </c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8"/>
      <c r="LZ140" s="2">
        <v>0.77594373219373203</v>
      </c>
      <c r="MA140" s="1">
        <f t="shared" si="35"/>
        <v>1</v>
      </c>
      <c r="MB140" s="1">
        <v>0.22405627</v>
      </c>
      <c r="MC140" s="2">
        <v>0</v>
      </c>
      <c r="MD140" s="1">
        <f t="shared" si="36"/>
        <v>0.77594373000000005</v>
      </c>
      <c r="ME140" s="1">
        <f t="shared" si="37"/>
        <v>0.22405627</v>
      </c>
    </row>
    <row r="141" spans="1:343" x14ac:dyDescent="0.2">
      <c r="A141" s="2">
        <v>21.5</v>
      </c>
      <c r="B141" s="7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>
        <f t="shared" si="33"/>
        <v>0</v>
      </c>
      <c r="DW141" s="3">
        <f t="shared" si="33"/>
        <v>0</v>
      </c>
      <c r="DX141" s="3">
        <f t="shared" si="33"/>
        <v>0</v>
      </c>
      <c r="DY141" s="3">
        <f t="shared" si="33"/>
        <v>0</v>
      </c>
      <c r="DZ141" s="3">
        <f t="shared" si="34"/>
        <v>0</v>
      </c>
      <c r="EA141" s="3">
        <f t="shared" si="34"/>
        <v>0</v>
      </c>
      <c r="EB141" s="3">
        <f t="shared" si="34"/>
        <v>1</v>
      </c>
      <c r="EC141" s="3">
        <f t="shared" si="34"/>
        <v>0</v>
      </c>
      <c r="ED141" s="3">
        <f t="shared" si="34"/>
        <v>0</v>
      </c>
      <c r="EE141" s="3">
        <f t="shared" si="34"/>
        <v>0</v>
      </c>
      <c r="EF141" s="3">
        <f t="shared" si="34"/>
        <v>0</v>
      </c>
      <c r="EG141" s="3">
        <f t="shared" si="34"/>
        <v>0</v>
      </c>
      <c r="EH141" s="3">
        <f t="shared" si="34"/>
        <v>0</v>
      </c>
      <c r="EI141" s="3">
        <f t="shared" si="34"/>
        <v>0</v>
      </c>
      <c r="EJ141" s="3">
        <f t="shared" si="34"/>
        <v>0</v>
      </c>
      <c r="EK141" s="3">
        <f>EK$338</f>
        <v>0</v>
      </c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8"/>
      <c r="LZ141" s="2">
        <v>0.77594373219373203</v>
      </c>
      <c r="MA141" s="1">
        <f t="shared" si="35"/>
        <v>1</v>
      </c>
      <c r="MB141" s="1">
        <v>0.22405627</v>
      </c>
      <c r="MC141" s="2">
        <v>0</v>
      </c>
      <c r="MD141" s="1">
        <f t="shared" si="36"/>
        <v>0.77594373000000005</v>
      </c>
      <c r="ME141" s="1">
        <f t="shared" si="37"/>
        <v>0.22405627</v>
      </c>
    </row>
    <row r="142" spans="1:343" x14ac:dyDescent="0.2">
      <c r="A142" s="2">
        <v>22</v>
      </c>
      <c r="B142" s="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>
        <f t="shared" si="33"/>
        <v>0</v>
      </c>
      <c r="DX142" s="3">
        <f t="shared" si="33"/>
        <v>0</v>
      </c>
      <c r="DY142" s="3">
        <f t="shared" si="33"/>
        <v>0</v>
      </c>
      <c r="DZ142" s="3">
        <f t="shared" si="34"/>
        <v>0</v>
      </c>
      <c r="EA142" s="3">
        <f t="shared" si="34"/>
        <v>0</v>
      </c>
      <c r="EB142" s="3">
        <f t="shared" si="34"/>
        <v>1</v>
      </c>
      <c r="EC142" s="3">
        <f t="shared" si="34"/>
        <v>0</v>
      </c>
      <c r="ED142" s="3">
        <f t="shared" si="34"/>
        <v>0</v>
      </c>
      <c r="EE142" s="3">
        <f t="shared" si="34"/>
        <v>0</v>
      </c>
      <c r="EF142" s="3">
        <f t="shared" si="34"/>
        <v>0</v>
      </c>
      <c r="EG142" s="3">
        <f t="shared" si="34"/>
        <v>0</v>
      </c>
      <c r="EH142" s="3">
        <f t="shared" si="34"/>
        <v>0</v>
      </c>
      <c r="EI142" s="3">
        <f t="shared" si="34"/>
        <v>0</v>
      </c>
      <c r="EJ142" s="3">
        <f t="shared" si="34"/>
        <v>0</v>
      </c>
      <c r="EK142" s="3">
        <f t="shared" si="34"/>
        <v>0</v>
      </c>
      <c r="EL142" s="3">
        <f>EL$338</f>
        <v>0</v>
      </c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8"/>
      <c r="LZ142" s="2">
        <v>0.68452635327635303</v>
      </c>
      <c r="MA142" s="1">
        <f t="shared" si="35"/>
        <v>1</v>
      </c>
      <c r="MB142" s="1">
        <v>0.31547364999999999</v>
      </c>
      <c r="MC142" s="2">
        <v>0</v>
      </c>
      <c r="MD142" s="1">
        <f t="shared" si="36"/>
        <v>0.68452635000000006</v>
      </c>
      <c r="ME142" s="1">
        <f t="shared" si="37"/>
        <v>0.31547364999999999</v>
      </c>
    </row>
    <row r="143" spans="1:343" x14ac:dyDescent="0.2">
      <c r="A143" s="2">
        <v>22.5</v>
      </c>
      <c r="B143" s="7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>
        <f t="shared" si="33"/>
        <v>0</v>
      </c>
      <c r="DY143" s="3">
        <f t="shared" si="33"/>
        <v>0</v>
      </c>
      <c r="DZ143" s="3">
        <f t="shared" si="34"/>
        <v>0</v>
      </c>
      <c r="EA143" s="3">
        <f t="shared" si="34"/>
        <v>0</v>
      </c>
      <c r="EB143" s="3">
        <f t="shared" si="34"/>
        <v>1</v>
      </c>
      <c r="EC143" s="3">
        <f t="shared" si="34"/>
        <v>0</v>
      </c>
      <c r="ED143" s="3">
        <f t="shared" si="34"/>
        <v>0</v>
      </c>
      <c r="EE143" s="3">
        <f t="shared" si="34"/>
        <v>0</v>
      </c>
      <c r="EF143" s="3">
        <f t="shared" si="34"/>
        <v>0</v>
      </c>
      <c r="EG143" s="3">
        <f t="shared" si="34"/>
        <v>0</v>
      </c>
      <c r="EH143" s="3">
        <f t="shared" si="34"/>
        <v>0</v>
      </c>
      <c r="EI143" s="3">
        <f t="shared" si="34"/>
        <v>0</v>
      </c>
      <c r="EJ143" s="3">
        <f t="shared" si="34"/>
        <v>0</v>
      </c>
      <c r="EK143" s="3">
        <f t="shared" si="34"/>
        <v>0</v>
      </c>
      <c r="EL143" s="3">
        <f t="shared" si="34"/>
        <v>0</v>
      </c>
      <c r="EM143" s="3">
        <f>EM$338</f>
        <v>0</v>
      </c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8"/>
      <c r="LZ143" s="2">
        <v>0.68452635327635303</v>
      </c>
      <c r="MA143" s="1">
        <f t="shared" si="35"/>
        <v>1</v>
      </c>
      <c r="MB143" s="1">
        <v>0.31547364999999999</v>
      </c>
      <c r="MC143" s="2">
        <v>0</v>
      </c>
      <c r="MD143" s="1">
        <f t="shared" si="36"/>
        <v>0.68452635000000006</v>
      </c>
      <c r="ME143" s="1">
        <f t="shared" si="37"/>
        <v>0.31547364999999999</v>
      </c>
    </row>
    <row r="144" spans="1:343" x14ac:dyDescent="0.2">
      <c r="A144" s="2">
        <v>23</v>
      </c>
      <c r="B144" s="7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>
        <f t="shared" si="33"/>
        <v>0</v>
      </c>
      <c r="DZ144" s="3">
        <f t="shared" si="34"/>
        <v>0</v>
      </c>
      <c r="EA144" s="3">
        <f t="shared" si="34"/>
        <v>0</v>
      </c>
      <c r="EB144" s="3">
        <f t="shared" si="34"/>
        <v>1</v>
      </c>
      <c r="EC144" s="3">
        <f t="shared" si="34"/>
        <v>0</v>
      </c>
      <c r="ED144" s="3">
        <f t="shared" si="34"/>
        <v>0</v>
      </c>
      <c r="EE144" s="3">
        <f t="shared" si="34"/>
        <v>0</v>
      </c>
      <c r="EF144" s="3">
        <f t="shared" si="34"/>
        <v>0</v>
      </c>
      <c r="EG144" s="3">
        <f t="shared" si="34"/>
        <v>0</v>
      </c>
      <c r="EH144" s="3">
        <f t="shared" si="34"/>
        <v>0</v>
      </c>
      <c r="EI144" s="3">
        <f t="shared" si="34"/>
        <v>0</v>
      </c>
      <c r="EJ144" s="3">
        <f t="shared" si="34"/>
        <v>0</v>
      </c>
      <c r="EK144" s="3">
        <f t="shared" si="34"/>
        <v>0</v>
      </c>
      <c r="EL144" s="3">
        <f t="shared" si="34"/>
        <v>0</v>
      </c>
      <c r="EM144" s="3">
        <f t="shared" si="34"/>
        <v>0</v>
      </c>
      <c r="EN144" s="3">
        <f>EN$338</f>
        <v>0</v>
      </c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8"/>
      <c r="LZ144" s="2">
        <v>0.54398148148148195</v>
      </c>
      <c r="MA144" s="1">
        <f t="shared" si="35"/>
        <v>1</v>
      </c>
      <c r="MB144" s="1">
        <v>0.45601851999999998</v>
      </c>
      <c r="MC144" s="2">
        <v>0</v>
      </c>
      <c r="MD144" s="1">
        <f t="shared" si="36"/>
        <v>0.54398148000000002</v>
      </c>
      <c r="ME144" s="1">
        <f t="shared" si="37"/>
        <v>0.45601851999999998</v>
      </c>
    </row>
    <row r="145" spans="1:343" x14ac:dyDescent="0.2">
      <c r="A145" s="2">
        <v>23.5</v>
      </c>
      <c r="B145" s="7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>
        <f t="shared" si="34"/>
        <v>0</v>
      </c>
      <c r="EA145" s="3">
        <f t="shared" si="34"/>
        <v>0</v>
      </c>
      <c r="EB145" s="3">
        <f t="shared" si="34"/>
        <v>1</v>
      </c>
      <c r="EC145" s="3">
        <f t="shared" si="34"/>
        <v>0</v>
      </c>
      <c r="ED145" s="3">
        <f t="shared" si="34"/>
        <v>0</v>
      </c>
      <c r="EE145" s="3">
        <f t="shared" si="34"/>
        <v>0</v>
      </c>
      <c r="EF145" s="3">
        <f t="shared" si="34"/>
        <v>0</v>
      </c>
      <c r="EG145" s="3">
        <f t="shared" si="34"/>
        <v>0</v>
      </c>
      <c r="EH145" s="3">
        <f t="shared" si="34"/>
        <v>0</v>
      </c>
      <c r="EI145" s="3">
        <f t="shared" si="34"/>
        <v>0</v>
      </c>
      <c r="EJ145" s="3">
        <f t="shared" si="34"/>
        <v>0</v>
      </c>
      <c r="EK145" s="3">
        <f t="shared" si="34"/>
        <v>0</v>
      </c>
      <c r="EL145" s="3">
        <f t="shared" si="34"/>
        <v>0</v>
      </c>
      <c r="EM145" s="3">
        <f t="shared" si="34"/>
        <v>0</v>
      </c>
      <c r="EN145" s="3">
        <f t="shared" si="34"/>
        <v>0</v>
      </c>
      <c r="EO145" s="3">
        <f>EO$338</f>
        <v>0</v>
      </c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8"/>
      <c r="LZ145" s="2">
        <v>0.54398148148148195</v>
      </c>
      <c r="MA145" s="1">
        <f t="shared" si="35"/>
        <v>1</v>
      </c>
      <c r="MB145" s="1">
        <v>0.45601851999999998</v>
      </c>
      <c r="MC145" s="2">
        <v>0</v>
      </c>
      <c r="MD145" s="1">
        <f t="shared" si="36"/>
        <v>0.54398148000000002</v>
      </c>
      <c r="ME145" s="1">
        <f t="shared" si="37"/>
        <v>0.45601851999999998</v>
      </c>
    </row>
    <row r="146" spans="1:343" x14ac:dyDescent="0.2">
      <c r="A146" s="2">
        <v>0</v>
      </c>
      <c r="B146" s="7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>
        <f t="shared" si="34"/>
        <v>0</v>
      </c>
      <c r="EB146" s="3">
        <f t="shared" si="34"/>
        <v>1</v>
      </c>
      <c r="EC146" s="3">
        <f t="shared" si="34"/>
        <v>0</v>
      </c>
      <c r="ED146" s="3">
        <f t="shared" si="34"/>
        <v>0</v>
      </c>
      <c r="EE146" s="3">
        <f t="shared" si="34"/>
        <v>0</v>
      </c>
      <c r="EF146" s="3">
        <f t="shared" si="34"/>
        <v>0</v>
      </c>
      <c r="EG146" s="3">
        <f t="shared" si="34"/>
        <v>0</v>
      </c>
      <c r="EH146" s="3">
        <f t="shared" si="34"/>
        <v>0</v>
      </c>
      <c r="EI146" s="3">
        <f t="shared" si="34"/>
        <v>0</v>
      </c>
      <c r="EJ146" s="3">
        <f t="shared" si="34"/>
        <v>0</v>
      </c>
      <c r="EK146" s="3">
        <f t="shared" si="34"/>
        <v>0</v>
      </c>
      <c r="EL146" s="3">
        <f t="shared" si="34"/>
        <v>0</v>
      </c>
      <c r="EM146" s="3">
        <f t="shared" si="34"/>
        <v>0</v>
      </c>
      <c r="EN146" s="3">
        <f t="shared" si="34"/>
        <v>0</v>
      </c>
      <c r="EO146" s="3">
        <f t="shared" si="34"/>
        <v>0</v>
      </c>
      <c r="EP146" s="3">
        <f>EP$338</f>
        <v>0</v>
      </c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8"/>
      <c r="LZ146" s="2">
        <v>0.390633903133903</v>
      </c>
      <c r="MA146" s="1">
        <f t="shared" si="35"/>
        <v>1</v>
      </c>
      <c r="MB146" s="1">
        <v>0.60936610000000002</v>
      </c>
      <c r="MC146" s="2">
        <v>0</v>
      </c>
      <c r="MD146" s="1">
        <f t="shared" si="36"/>
        <v>0.39063389999999998</v>
      </c>
      <c r="ME146" s="1">
        <f t="shared" si="37"/>
        <v>0.60936610000000002</v>
      </c>
    </row>
    <row r="147" spans="1:343" x14ac:dyDescent="0.2">
      <c r="A147" s="2">
        <v>0.5</v>
      </c>
      <c r="B147" s="7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>
        <f t="shared" si="34"/>
        <v>1</v>
      </c>
      <c r="EC147" s="3">
        <f t="shared" si="34"/>
        <v>0</v>
      </c>
      <c r="ED147" s="3">
        <f t="shared" si="34"/>
        <v>0</v>
      </c>
      <c r="EE147" s="3">
        <f t="shared" si="34"/>
        <v>0</v>
      </c>
      <c r="EF147" s="3">
        <f t="shared" si="34"/>
        <v>0</v>
      </c>
      <c r="EG147" s="3">
        <f t="shared" si="34"/>
        <v>0</v>
      </c>
      <c r="EH147" s="3">
        <f t="shared" si="34"/>
        <v>0</v>
      </c>
      <c r="EI147" s="3">
        <f t="shared" si="34"/>
        <v>0</v>
      </c>
      <c r="EJ147" s="3">
        <f t="shared" si="34"/>
        <v>0</v>
      </c>
      <c r="EK147" s="3">
        <f t="shared" si="34"/>
        <v>0</v>
      </c>
      <c r="EL147" s="3">
        <f t="shared" si="34"/>
        <v>0</v>
      </c>
      <c r="EM147" s="3">
        <f t="shared" si="34"/>
        <v>0</v>
      </c>
      <c r="EN147" s="3">
        <f t="shared" si="34"/>
        <v>0</v>
      </c>
      <c r="EO147" s="3">
        <f t="shared" si="34"/>
        <v>0</v>
      </c>
      <c r="EP147" s="3">
        <f t="shared" si="34"/>
        <v>0</v>
      </c>
      <c r="EQ147" s="3">
        <f>EQ$338</f>
        <v>0</v>
      </c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8"/>
      <c r="LZ147" s="2">
        <v>0.390633903133903</v>
      </c>
      <c r="MA147" s="1">
        <f t="shared" si="35"/>
        <v>1</v>
      </c>
      <c r="MB147" s="1">
        <v>0.60936610000000002</v>
      </c>
      <c r="MC147" s="2">
        <v>0</v>
      </c>
      <c r="MD147" s="1">
        <f t="shared" si="36"/>
        <v>0.39063389999999998</v>
      </c>
      <c r="ME147" s="1">
        <f t="shared" si="37"/>
        <v>0.60936610000000002</v>
      </c>
    </row>
    <row r="148" spans="1:343" x14ac:dyDescent="0.2">
      <c r="A148" s="2">
        <v>1</v>
      </c>
      <c r="B148" s="7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>
        <f t="shared" si="34"/>
        <v>0</v>
      </c>
      <c r="ED148" s="3">
        <f t="shared" si="34"/>
        <v>0</v>
      </c>
      <c r="EE148" s="3">
        <f t="shared" si="34"/>
        <v>0</v>
      </c>
      <c r="EF148" s="3">
        <f t="shared" si="34"/>
        <v>0</v>
      </c>
      <c r="EG148" s="3">
        <f t="shared" si="34"/>
        <v>0</v>
      </c>
      <c r="EH148" s="3">
        <f t="shared" si="34"/>
        <v>0</v>
      </c>
      <c r="EI148" s="3">
        <f t="shared" si="34"/>
        <v>0</v>
      </c>
      <c r="EJ148" s="3">
        <f t="shared" si="34"/>
        <v>0</v>
      </c>
      <c r="EK148" s="3">
        <f t="shared" si="34"/>
        <v>0</v>
      </c>
      <c r="EL148" s="3">
        <f t="shared" si="34"/>
        <v>0</v>
      </c>
      <c r="EM148" s="3">
        <f t="shared" si="34"/>
        <v>0</v>
      </c>
      <c r="EN148" s="3">
        <f t="shared" si="34"/>
        <v>0</v>
      </c>
      <c r="EO148" s="3">
        <f t="shared" si="34"/>
        <v>0</v>
      </c>
      <c r="EP148" s="3">
        <f t="shared" si="34"/>
        <v>0</v>
      </c>
      <c r="EQ148" s="3">
        <f t="shared" si="34"/>
        <v>0</v>
      </c>
      <c r="ER148" s="3">
        <f>ER$338</f>
        <v>0</v>
      </c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8"/>
      <c r="LZ148" s="2">
        <v>0.26025641025641</v>
      </c>
      <c r="MA148" s="1">
        <f t="shared" si="35"/>
        <v>0</v>
      </c>
      <c r="MB148" s="1">
        <v>0</v>
      </c>
      <c r="MC148" s="2">
        <v>0.26025640999999999</v>
      </c>
      <c r="MD148" s="1">
        <f t="shared" si="36"/>
        <v>0.26025640999999999</v>
      </c>
      <c r="ME148" s="1">
        <f t="shared" si="37"/>
        <v>0.26025640999999999</v>
      </c>
    </row>
    <row r="149" spans="1:343" x14ac:dyDescent="0.2">
      <c r="A149" s="2">
        <v>1.5</v>
      </c>
      <c r="B149" s="7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>
        <f t="shared" si="34"/>
        <v>0</v>
      </c>
      <c r="EE149" s="3">
        <f t="shared" si="34"/>
        <v>0</v>
      </c>
      <c r="EF149" s="3">
        <f t="shared" si="34"/>
        <v>0</v>
      </c>
      <c r="EG149" s="3">
        <f t="shared" si="34"/>
        <v>0</v>
      </c>
      <c r="EH149" s="3">
        <f t="shared" si="34"/>
        <v>0</v>
      </c>
      <c r="EI149" s="3">
        <f t="shared" si="34"/>
        <v>0</v>
      </c>
      <c r="EJ149" s="3">
        <f t="shared" si="34"/>
        <v>0</v>
      </c>
      <c r="EK149" s="3">
        <f t="shared" si="34"/>
        <v>0</v>
      </c>
      <c r="EL149" s="3">
        <f t="shared" si="34"/>
        <v>0</v>
      </c>
      <c r="EM149" s="3">
        <f t="shared" si="34"/>
        <v>0</v>
      </c>
      <c r="EN149" s="3">
        <f t="shared" si="34"/>
        <v>0</v>
      </c>
      <c r="EO149" s="3">
        <f t="shared" si="34"/>
        <v>0</v>
      </c>
      <c r="EP149" s="3">
        <f t="shared" si="34"/>
        <v>0</v>
      </c>
      <c r="EQ149" s="3">
        <f t="shared" si="34"/>
        <v>0</v>
      </c>
      <c r="ER149" s="3">
        <f t="shared" si="34"/>
        <v>0</v>
      </c>
      <c r="ES149" s="3">
        <f>ES$338</f>
        <v>0</v>
      </c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8"/>
      <c r="LZ149" s="2">
        <v>0.26025641025641</v>
      </c>
      <c r="MA149" s="1">
        <f t="shared" si="35"/>
        <v>0</v>
      </c>
      <c r="MB149" s="1">
        <v>0</v>
      </c>
      <c r="MC149" s="2">
        <v>0.26025640999999999</v>
      </c>
      <c r="MD149" s="1">
        <f t="shared" si="36"/>
        <v>0.26025640999999999</v>
      </c>
      <c r="ME149" s="1">
        <f t="shared" si="37"/>
        <v>0.26025640999999999</v>
      </c>
    </row>
    <row r="150" spans="1:343" x14ac:dyDescent="0.2">
      <c r="A150" s="2">
        <v>2</v>
      </c>
      <c r="B150" s="7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>
        <f t="shared" si="34"/>
        <v>0</v>
      </c>
      <c r="EF150" s="3">
        <f t="shared" si="34"/>
        <v>0</v>
      </c>
      <c r="EG150" s="3">
        <f t="shared" si="34"/>
        <v>0</v>
      </c>
      <c r="EH150" s="3">
        <f t="shared" si="34"/>
        <v>0</v>
      </c>
      <c r="EI150" s="3">
        <f t="shared" si="34"/>
        <v>0</v>
      </c>
      <c r="EJ150" s="3">
        <f t="shared" si="34"/>
        <v>0</v>
      </c>
      <c r="EK150" s="3">
        <f t="shared" si="34"/>
        <v>0</v>
      </c>
      <c r="EL150" s="3">
        <f t="shared" si="34"/>
        <v>0</v>
      </c>
      <c r="EM150" s="3">
        <f t="shared" si="34"/>
        <v>0</v>
      </c>
      <c r="EN150" s="3">
        <f t="shared" si="34"/>
        <v>0</v>
      </c>
      <c r="EO150" s="3">
        <f t="shared" si="34"/>
        <v>0</v>
      </c>
      <c r="EP150" s="3">
        <f t="shared" si="34"/>
        <v>0</v>
      </c>
      <c r="EQ150" s="3">
        <f t="shared" si="34"/>
        <v>0</v>
      </c>
      <c r="ER150" s="3">
        <f t="shared" si="34"/>
        <v>0</v>
      </c>
      <c r="ES150" s="3">
        <f t="shared" si="34"/>
        <v>0</v>
      </c>
      <c r="ET150" s="3">
        <f>ET$338</f>
        <v>0</v>
      </c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8"/>
      <c r="LZ150" s="2">
        <v>0.17831196581196601</v>
      </c>
      <c r="MA150" s="1">
        <f t="shared" si="35"/>
        <v>0</v>
      </c>
      <c r="MB150" s="1">
        <v>0</v>
      </c>
      <c r="MC150" s="2">
        <v>0.17831196999999999</v>
      </c>
      <c r="MD150" s="1">
        <f t="shared" si="36"/>
        <v>0.17831196999999999</v>
      </c>
      <c r="ME150" s="1">
        <f t="shared" si="37"/>
        <v>0.17831196999999999</v>
      </c>
    </row>
    <row r="151" spans="1:343" x14ac:dyDescent="0.2">
      <c r="A151" s="2">
        <v>2.5</v>
      </c>
      <c r="B151" s="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>
        <f t="shared" si="34"/>
        <v>0</v>
      </c>
      <c r="EG151" s="3">
        <f t="shared" si="34"/>
        <v>0</v>
      </c>
      <c r="EH151" s="3">
        <f t="shared" si="34"/>
        <v>0</v>
      </c>
      <c r="EI151" s="3">
        <f t="shared" si="34"/>
        <v>0</v>
      </c>
      <c r="EJ151" s="3">
        <f t="shared" si="34"/>
        <v>0</v>
      </c>
      <c r="EK151" s="3">
        <f t="shared" si="34"/>
        <v>0</v>
      </c>
      <c r="EL151" s="3">
        <f t="shared" si="34"/>
        <v>0</v>
      </c>
      <c r="EM151" s="3">
        <f t="shared" si="34"/>
        <v>0</v>
      </c>
      <c r="EN151" s="3">
        <f t="shared" si="34"/>
        <v>0</v>
      </c>
      <c r="EO151" s="3">
        <f t="shared" si="34"/>
        <v>0</v>
      </c>
      <c r="EP151" s="3">
        <f t="shared" si="34"/>
        <v>0</v>
      </c>
      <c r="EQ151" s="3">
        <f t="shared" si="34"/>
        <v>0</v>
      </c>
      <c r="ER151" s="3">
        <f t="shared" si="34"/>
        <v>0</v>
      </c>
      <c r="ES151" s="3">
        <f t="shared" si="34"/>
        <v>0</v>
      </c>
      <c r="ET151" s="3">
        <f t="shared" si="34"/>
        <v>0</v>
      </c>
      <c r="EU151" s="3">
        <f>EU$338</f>
        <v>0</v>
      </c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8"/>
      <c r="LZ151" s="2">
        <v>0.17831196581196601</v>
      </c>
      <c r="MA151" s="1">
        <f t="shared" si="35"/>
        <v>0</v>
      </c>
      <c r="MB151" s="1">
        <v>0</v>
      </c>
      <c r="MC151" s="2">
        <v>0.17831196999999999</v>
      </c>
      <c r="MD151" s="1">
        <f t="shared" si="36"/>
        <v>0.17831196999999999</v>
      </c>
      <c r="ME151" s="1">
        <f t="shared" si="37"/>
        <v>0.17831196999999999</v>
      </c>
    </row>
    <row r="152" spans="1:343" x14ac:dyDescent="0.2">
      <c r="A152" s="2">
        <v>3</v>
      </c>
      <c r="B152" s="7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>
        <f t="shared" si="34"/>
        <v>0</v>
      </c>
      <c r="EH152" s="3">
        <f t="shared" si="34"/>
        <v>0</v>
      </c>
      <c r="EI152" s="3">
        <f t="shared" si="34"/>
        <v>0</v>
      </c>
      <c r="EJ152" s="3">
        <f t="shared" si="34"/>
        <v>0</v>
      </c>
      <c r="EK152" s="3">
        <f t="shared" si="34"/>
        <v>0</v>
      </c>
      <c r="EL152" s="3">
        <f t="shared" si="34"/>
        <v>0</v>
      </c>
      <c r="EM152" s="3">
        <f t="shared" si="34"/>
        <v>0</v>
      </c>
      <c r="EN152" s="3">
        <f t="shared" si="34"/>
        <v>0</v>
      </c>
      <c r="EO152" s="3">
        <f t="shared" si="34"/>
        <v>0</v>
      </c>
      <c r="EP152" s="3">
        <f t="shared" si="34"/>
        <v>0</v>
      </c>
      <c r="EQ152" s="3">
        <f t="shared" si="34"/>
        <v>0</v>
      </c>
      <c r="ER152" s="3">
        <f t="shared" si="34"/>
        <v>0</v>
      </c>
      <c r="ES152" s="3">
        <f t="shared" si="34"/>
        <v>0</v>
      </c>
      <c r="ET152" s="3">
        <f t="shared" si="34"/>
        <v>0</v>
      </c>
      <c r="EU152" s="3">
        <f t="shared" si="34"/>
        <v>0</v>
      </c>
      <c r="EV152" s="3">
        <f>EV$338</f>
        <v>0</v>
      </c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8"/>
      <c r="LZ152" s="2">
        <v>0.14426638176638201</v>
      </c>
      <c r="MA152" s="1">
        <f t="shared" si="35"/>
        <v>0</v>
      </c>
      <c r="MB152" s="1">
        <v>0</v>
      </c>
      <c r="MC152" s="2">
        <v>0.14426638</v>
      </c>
      <c r="MD152" s="1">
        <f t="shared" si="36"/>
        <v>0.14426638</v>
      </c>
      <c r="ME152" s="1">
        <f t="shared" si="37"/>
        <v>0.14426638</v>
      </c>
    </row>
    <row r="153" spans="1:343" x14ac:dyDescent="0.2">
      <c r="A153" s="2">
        <v>3.5</v>
      </c>
      <c r="B153" s="7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>
        <f t="shared" si="34"/>
        <v>0</v>
      </c>
      <c r="EI153" s="3">
        <f t="shared" si="34"/>
        <v>0</v>
      </c>
      <c r="EJ153" s="3">
        <f t="shared" si="34"/>
        <v>0</v>
      </c>
      <c r="EK153" s="3">
        <f t="shared" si="34"/>
        <v>0</v>
      </c>
      <c r="EL153" s="3">
        <f t="shared" si="34"/>
        <v>0</v>
      </c>
      <c r="EM153" s="3">
        <f t="shared" si="34"/>
        <v>0</v>
      </c>
      <c r="EN153" s="3">
        <f t="shared" si="34"/>
        <v>0</v>
      </c>
      <c r="EO153" s="3">
        <f t="shared" si="34"/>
        <v>0</v>
      </c>
      <c r="EP153" s="3">
        <f t="shared" si="34"/>
        <v>0</v>
      </c>
      <c r="EQ153" s="3">
        <f t="shared" si="34"/>
        <v>0</v>
      </c>
      <c r="ER153" s="3">
        <f t="shared" si="34"/>
        <v>0</v>
      </c>
      <c r="ES153" s="3">
        <f t="shared" si="34"/>
        <v>0</v>
      </c>
      <c r="ET153" s="3">
        <f t="shared" si="34"/>
        <v>0</v>
      </c>
      <c r="EU153" s="3">
        <f t="shared" si="34"/>
        <v>0</v>
      </c>
      <c r="EV153" s="3">
        <f t="shared" si="34"/>
        <v>0</v>
      </c>
      <c r="EW153" s="3">
        <f>EW$338</f>
        <v>0</v>
      </c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8"/>
      <c r="LZ153" s="2">
        <v>0.14426638176638201</v>
      </c>
      <c r="MA153" s="1">
        <f t="shared" si="35"/>
        <v>0</v>
      </c>
      <c r="MB153" s="1">
        <v>0</v>
      </c>
      <c r="MC153" s="2">
        <v>0.14426638</v>
      </c>
      <c r="MD153" s="1">
        <f t="shared" si="36"/>
        <v>0.14426638</v>
      </c>
      <c r="ME153" s="1">
        <f t="shared" si="37"/>
        <v>0.14426638</v>
      </c>
    </row>
    <row r="154" spans="1:343" x14ac:dyDescent="0.2">
      <c r="A154" s="2">
        <v>4</v>
      </c>
      <c r="B154" s="7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>
        <f t="shared" si="34"/>
        <v>0</v>
      </c>
      <c r="EJ154" s="3">
        <f t="shared" si="34"/>
        <v>0</v>
      </c>
      <c r="EK154" s="3">
        <f t="shared" si="34"/>
        <v>0</v>
      </c>
      <c r="EL154" s="3">
        <f t="shared" si="34"/>
        <v>0</v>
      </c>
      <c r="EM154" s="3">
        <f t="shared" si="34"/>
        <v>0</v>
      </c>
      <c r="EN154" s="3">
        <f t="shared" si="34"/>
        <v>0</v>
      </c>
      <c r="EO154" s="3">
        <f t="shared" si="34"/>
        <v>0</v>
      </c>
      <c r="EP154" s="3">
        <f t="shared" si="34"/>
        <v>0</v>
      </c>
      <c r="EQ154" s="3">
        <f t="shared" si="34"/>
        <v>0</v>
      </c>
      <c r="ER154" s="3">
        <f t="shared" si="34"/>
        <v>0</v>
      </c>
      <c r="ES154" s="3">
        <f t="shared" si="34"/>
        <v>0</v>
      </c>
      <c r="ET154" s="3">
        <f t="shared" si="34"/>
        <v>0</v>
      </c>
      <c r="EU154" s="3">
        <f t="shared" si="34"/>
        <v>0</v>
      </c>
      <c r="EV154" s="3">
        <f t="shared" si="34"/>
        <v>0</v>
      </c>
      <c r="EW154" s="3">
        <f t="shared" si="34"/>
        <v>0</v>
      </c>
      <c r="EX154" s="3">
        <f>EX$338</f>
        <v>0</v>
      </c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8"/>
      <c r="LZ154" s="2">
        <v>0.117877492877493</v>
      </c>
      <c r="MA154" s="1">
        <f t="shared" si="35"/>
        <v>0</v>
      </c>
      <c r="MB154" s="1">
        <v>0</v>
      </c>
      <c r="MC154" s="2">
        <v>0.11787749</v>
      </c>
      <c r="MD154" s="1">
        <f t="shared" si="36"/>
        <v>0.11787749</v>
      </c>
      <c r="ME154" s="1">
        <f t="shared" si="37"/>
        <v>0.11787749</v>
      </c>
    </row>
    <row r="155" spans="1:343" x14ac:dyDescent="0.2">
      <c r="A155" s="2">
        <v>4.5</v>
      </c>
      <c r="B155" s="7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>
        <f t="shared" ref="EJ155:FE176" si="38">EJ$338</f>
        <v>0</v>
      </c>
      <c r="EK155" s="3">
        <f t="shared" si="38"/>
        <v>0</v>
      </c>
      <c r="EL155" s="3">
        <f t="shared" si="38"/>
        <v>0</v>
      </c>
      <c r="EM155" s="3">
        <f t="shared" si="38"/>
        <v>0</v>
      </c>
      <c r="EN155" s="3">
        <f t="shared" si="38"/>
        <v>0</v>
      </c>
      <c r="EO155" s="3">
        <f t="shared" si="38"/>
        <v>0</v>
      </c>
      <c r="EP155" s="3">
        <f t="shared" si="38"/>
        <v>0</v>
      </c>
      <c r="EQ155" s="3">
        <f t="shared" si="38"/>
        <v>0</v>
      </c>
      <c r="ER155" s="3">
        <f t="shared" si="38"/>
        <v>0</v>
      </c>
      <c r="ES155" s="3">
        <f t="shared" si="38"/>
        <v>0</v>
      </c>
      <c r="ET155" s="3">
        <f t="shared" si="38"/>
        <v>0</v>
      </c>
      <c r="EU155" s="3">
        <f t="shared" si="38"/>
        <v>0</v>
      </c>
      <c r="EV155" s="3">
        <f t="shared" si="38"/>
        <v>0</v>
      </c>
      <c r="EW155" s="3">
        <f t="shared" si="38"/>
        <v>0</v>
      </c>
      <c r="EX155" s="3">
        <f t="shared" si="38"/>
        <v>0</v>
      </c>
      <c r="EY155" s="3">
        <f>EY$338</f>
        <v>0</v>
      </c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8"/>
      <c r="LZ155" s="2">
        <v>0.117877492877493</v>
      </c>
      <c r="MA155" s="1">
        <f t="shared" si="35"/>
        <v>0</v>
      </c>
      <c r="MB155" s="1">
        <v>0</v>
      </c>
      <c r="MC155" s="2">
        <v>0.11787749</v>
      </c>
      <c r="MD155" s="1">
        <f t="shared" si="36"/>
        <v>0.11787749</v>
      </c>
      <c r="ME155" s="1">
        <f t="shared" si="37"/>
        <v>0.11787749</v>
      </c>
    </row>
    <row r="156" spans="1:343" x14ac:dyDescent="0.2">
      <c r="A156" s="2">
        <v>5</v>
      </c>
      <c r="B156" s="7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>
        <f t="shared" si="38"/>
        <v>0</v>
      </c>
      <c r="EL156" s="3">
        <f t="shared" si="38"/>
        <v>0</v>
      </c>
      <c r="EM156" s="3">
        <f t="shared" si="38"/>
        <v>0</v>
      </c>
      <c r="EN156" s="3">
        <f t="shared" si="38"/>
        <v>0</v>
      </c>
      <c r="EO156" s="3">
        <f t="shared" si="38"/>
        <v>0</v>
      </c>
      <c r="EP156" s="3">
        <f t="shared" si="38"/>
        <v>0</v>
      </c>
      <c r="EQ156" s="3">
        <f t="shared" si="38"/>
        <v>0</v>
      </c>
      <c r="ER156" s="3">
        <f t="shared" si="38"/>
        <v>0</v>
      </c>
      <c r="ES156" s="3">
        <f t="shared" si="38"/>
        <v>0</v>
      </c>
      <c r="ET156" s="3">
        <f t="shared" si="38"/>
        <v>0</v>
      </c>
      <c r="EU156" s="3">
        <f t="shared" si="38"/>
        <v>0</v>
      </c>
      <c r="EV156" s="3">
        <f t="shared" si="38"/>
        <v>0</v>
      </c>
      <c r="EW156" s="3">
        <f t="shared" si="38"/>
        <v>0</v>
      </c>
      <c r="EX156" s="3">
        <f t="shared" si="38"/>
        <v>0</v>
      </c>
      <c r="EY156" s="3">
        <f t="shared" si="38"/>
        <v>0</v>
      </c>
      <c r="EZ156" s="3">
        <f>EZ$338</f>
        <v>0</v>
      </c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8"/>
      <c r="LZ156" s="2">
        <v>9.54059829059829E-2</v>
      </c>
      <c r="MA156" s="1">
        <f t="shared" si="35"/>
        <v>0</v>
      </c>
      <c r="MB156" s="1">
        <v>0</v>
      </c>
      <c r="MC156" s="2">
        <v>9.5405983E-2</v>
      </c>
      <c r="MD156" s="1">
        <f t="shared" si="36"/>
        <v>9.5405983E-2</v>
      </c>
      <c r="ME156" s="1">
        <f t="shared" si="37"/>
        <v>9.5405983E-2</v>
      </c>
    </row>
    <row r="157" spans="1:343" x14ac:dyDescent="0.2">
      <c r="A157" s="2">
        <v>5.5</v>
      </c>
      <c r="B157" s="7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>
        <f t="shared" si="38"/>
        <v>0</v>
      </c>
      <c r="EM157" s="3">
        <f t="shared" si="38"/>
        <v>0</v>
      </c>
      <c r="EN157" s="3">
        <f t="shared" si="38"/>
        <v>0</v>
      </c>
      <c r="EO157" s="3">
        <f t="shared" si="38"/>
        <v>0</v>
      </c>
      <c r="EP157" s="3">
        <f t="shared" si="38"/>
        <v>0</v>
      </c>
      <c r="EQ157" s="3">
        <f t="shared" si="38"/>
        <v>0</v>
      </c>
      <c r="ER157" s="3">
        <f t="shared" si="38"/>
        <v>0</v>
      </c>
      <c r="ES157" s="3">
        <f t="shared" si="38"/>
        <v>0</v>
      </c>
      <c r="ET157" s="3">
        <f t="shared" si="38"/>
        <v>0</v>
      </c>
      <c r="EU157" s="3">
        <f t="shared" si="38"/>
        <v>0</v>
      </c>
      <c r="EV157" s="3">
        <f t="shared" si="38"/>
        <v>0</v>
      </c>
      <c r="EW157" s="3">
        <f t="shared" si="38"/>
        <v>0</v>
      </c>
      <c r="EX157" s="3">
        <f t="shared" si="38"/>
        <v>0</v>
      </c>
      <c r="EY157" s="3">
        <f t="shared" si="38"/>
        <v>0</v>
      </c>
      <c r="EZ157" s="3">
        <f t="shared" si="38"/>
        <v>0</v>
      </c>
      <c r="FA157" s="3">
        <f>FA$338</f>
        <v>0</v>
      </c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8"/>
      <c r="LZ157" s="2">
        <v>9.54059829059829E-2</v>
      </c>
      <c r="MA157" s="1">
        <f t="shared" si="35"/>
        <v>0</v>
      </c>
      <c r="MB157" s="1">
        <v>0</v>
      </c>
      <c r="MC157" s="2">
        <v>9.5405983E-2</v>
      </c>
      <c r="MD157" s="1">
        <f t="shared" si="36"/>
        <v>9.5405983E-2</v>
      </c>
      <c r="ME157" s="1">
        <f t="shared" si="37"/>
        <v>9.5405983E-2</v>
      </c>
    </row>
    <row r="158" spans="1:343" x14ac:dyDescent="0.2">
      <c r="A158" s="2">
        <v>6</v>
      </c>
      <c r="B158" s="7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>
        <f t="shared" si="38"/>
        <v>0</v>
      </c>
      <c r="EN158" s="3">
        <f t="shared" si="38"/>
        <v>0</v>
      </c>
      <c r="EO158" s="3">
        <f t="shared" si="38"/>
        <v>0</v>
      </c>
      <c r="EP158" s="3">
        <f t="shared" si="38"/>
        <v>0</v>
      </c>
      <c r="EQ158" s="3">
        <f t="shared" si="38"/>
        <v>0</v>
      </c>
      <c r="ER158" s="3">
        <f t="shared" si="38"/>
        <v>0</v>
      </c>
      <c r="ES158" s="3">
        <f t="shared" si="38"/>
        <v>0</v>
      </c>
      <c r="ET158" s="3">
        <f t="shared" si="38"/>
        <v>0</v>
      </c>
      <c r="EU158" s="3">
        <f t="shared" si="38"/>
        <v>0</v>
      </c>
      <c r="EV158" s="3">
        <f t="shared" si="38"/>
        <v>0</v>
      </c>
      <c r="EW158" s="3">
        <f t="shared" si="38"/>
        <v>0</v>
      </c>
      <c r="EX158" s="3">
        <f t="shared" si="38"/>
        <v>0</v>
      </c>
      <c r="EY158" s="3">
        <f t="shared" si="38"/>
        <v>0</v>
      </c>
      <c r="EZ158" s="3">
        <f t="shared" si="38"/>
        <v>0</v>
      </c>
      <c r="FA158" s="3">
        <f t="shared" si="38"/>
        <v>0</v>
      </c>
      <c r="FB158" s="3">
        <f>FB$338</f>
        <v>0</v>
      </c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8"/>
      <c r="LZ158" s="2">
        <v>9.6296296296296297E-2</v>
      </c>
      <c r="MA158" s="1">
        <f t="shared" si="35"/>
        <v>0</v>
      </c>
      <c r="MB158" s="1">
        <v>0</v>
      </c>
      <c r="MC158" s="2">
        <v>9.6296296000000003E-2</v>
      </c>
      <c r="MD158" s="1">
        <f t="shared" si="36"/>
        <v>9.6296296000000003E-2</v>
      </c>
      <c r="ME158" s="1">
        <f t="shared" si="37"/>
        <v>9.6296296000000003E-2</v>
      </c>
    </row>
    <row r="159" spans="1:343" x14ac:dyDescent="0.2">
      <c r="A159" s="2">
        <v>6.5</v>
      </c>
      <c r="B159" s="7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>
        <f t="shared" si="38"/>
        <v>0</v>
      </c>
      <c r="EO159" s="3">
        <f t="shared" si="38"/>
        <v>0</v>
      </c>
      <c r="EP159" s="3">
        <f t="shared" si="38"/>
        <v>0</v>
      </c>
      <c r="EQ159" s="3">
        <f t="shared" si="38"/>
        <v>0</v>
      </c>
      <c r="ER159" s="3">
        <f t="shared" si="38"/>
        <v>0</v>
      </c>
      <c r="ES159" s="3">
        <f t="shared" si="38"/>
        <v>0</v>
      </c>
      <c r="ET159" s="3">
        <f t="shared" si="38"/>
        <v>0</v>
      </c>
      <c r="EU159" s="3">
        <f t="shared" si="38"/>
        <v>0</v>
      </c>
      <c r="EV159" s="3">
        <f t="shared" si="38"/>
        <v>0</v>
      </c>
      <c r="EW159" s="3">
        <f t="shared" si="38"/>
        <v>0</v>
      </c>
      <c r="EX159" s="3">
        <f t="shared" si="38"/>
        <v>0</v>
      </c>
      <c r="EY159" s="3">
        <f t="shared" si="38"/>
        <v>0</v>
      </c>
      <c r="EZ159" s="3">
        <f t="shared" si="38"/>
        <v>0</v>
      </c>
      <c r="FA159" s="3">
        <f t="shared" si="38"/>
        <v>0</v>
      </c>
      <c r="FB159" s="3">
        <f t="shared" si="38"/>
        <v>0</v>
      </c>
      <c r="FC159" s="3">
        <f>FC$338</f>
        <v>0</v>
      </c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8"/>
      <c r="LZ159" s="2">
        <v>9.6296296296296297E-2</v>
      </c>
      <c r="MA159" s="1">
        <f t="shared" si="35"/>
        <v>0</v>
      </c>
      <c r="MB159" s="1">
        <v>0</v>
      </c>
      <c r="MC159" s="2">
        <v>9.6296296000000003E-2</v>
      </c>
      <c r="MD159" s="1">
        <f t="shared" si="36"/>
        <v>9.6296296000000003E-2</v>
      </c>
      <c r="ME159" s="1">
        <f t="shared" si="37"/>
        <v>9.6296296000000003E-2</v>
      </c>
    </row>
    <row r="160" spans="1:343" x14ac:dyDescent="0.2">
      <c r="A160" s="2">
        <v>7</v>
      </c>
      <c r="B160" s="7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>
        <f t="shared" si="38"/>
        <v>0</v>
      </c>
      <c r="EP160" s="3">
        <f t="shared" si="38"/>
        <v>0</v>
      </c>
      <c r="EQ160" s="3">
        <f t="shared" si="38"/>
        <v>0</v>
      </c>
      <c r="ER160" s="3">
        <f t="shared" si="38"/>
        <v>0</v>
      </c>
      <c r="ES160" s="3">
        <f t="shared" si="38"/>
        <v>0</v>
      </c>
      <c r="ET160" s="3">
        <f t="shared" si="38"/>
        <v>0</v>
      </c>
      <c r="EU160" s="3">
        <f t="shared" si="38"/>
        <v>0</v>
      </c>
      <c r="EV160" s="3">
        <f t="shared" si="38"/>
        <v>0</v>
      </c>
      <c r="EW160" s="3">
        <f t="shared" si="38"/>
        <v>0</v>
      </c>
      <c r="EX160" s="3">
        <f t="shared" si="38"/>
        <v>0</v>
      </c>
      <c r="EY160" s="3">
        <f t="shared" si="38"/>
        <v>0</v>
      </c>
      <c r="EZ160" s="3">
        <f t="shared" si="38"/>
        <v>0</v>
      </c>
      <c r="FA160" s="3">
        <f t="shared" si="38"/>
        <v>0</v>
      </c>
      <c r="FB160" s="3">
        <f t="shared" si="38"/>
        <v>0</v>
      </c>
      <c r="FC160" s="3">
        <f t="shared" si="38"/>
        <v>0</v>
      </c>
      <c r="FD160" s="3">
        <f>FD$338</f>
        <v>0</v>
      </c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8"/>
      <c r="LZ160" s="2">
        <v>0.107104700854701</v>
      </c>
      <c r="MA160" s="1">
        <f t="shared" si="35"/>
        <v>0</v>
      </c>
      <c r="MB160" s="1">
        <v>0</v>
      </c>
      <c r="MC160" s="2">
        <v>0.1071047</v>
      </c>
      <c r="MD160" s="1">
        <f t="shared" si="36"/>
        <v>0.1071047</v>
      </c>
      <c r="ME160" s="1">
        <f t="shared" si="37"/>
        <v>0.1071047</v>
      </c>
    </row>
    <row r="161" spans="1:343" x14ac:dyDescent="0.2">
      <c r="A161" s="2">
        <v>7.5</v>
      </c>
      <c r="B161" s="7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>
        <f t="shared" si="38"/>
        <v>0</v>
      </c>
      <c r="EQ161" s="3">
        <f t="shared" si="38"/>
        <v>0</v>
      </c>
      <c r="ER161" s="3">
        <f t="shared" si="38"/>
        <v>0</v>
      </c>
      <c r="ES161" s="3">
        <f t="shared" si="38"/>
        <v>0</v>
      </c>
      <c r="ET161" s="3">
        <f t="shared" si="38"/>
        <v>0</v>
      </c>
      <c r="EU161" s="3">
        <f t="shared" si="38"/>
        <v>0</v>
      </c>
      <c r="EV161" s="3">
        <f t="shared" si="38"/>
        <v>0</v>
      </c>
      <c r="EW161" s="3">
        <f t="shared" si="38"/>
        <v>0</v>
      </c>
      <c r="EX161" s="3">
        <f t="shared" si="38"/>
        <v>0</v>
      </c>
      <c r="EY161" s="3">
        <f t="shared" si="38"/>
        <v>0</v>
      </c>
      <c r="EZ161" s="3">
        <f t="shared" si="38"/>
        <v>0</v>
      </c>
      <c r="FA161" s="3">
        <f t="shared" si="38"/>
        <v>0</v>
      </c>
      <c r="FB161" s="3">
        <f t="shared" si="38"/>
        <v>0</v>
      </c>
      <c r="FC161" s="3">
        <f t="shared" si="38"/>
        <v>0</v>
      </c>
      <c r="FD161" s="3">
        <f t="shared" si="38"/>
        <v>0</v>
      </c>
      <c r="FE161" s="3">
        <f>FE$338</f>
        <v>0</v>
      </c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8"/>
      <c r="LZ161" s="2">
        <v>0.107104700854701</v>
      </c>
      <c r="MA161" s="1">
        <f t="shared" si="35"/>
        <v>0</v>
      </c>
      <c r="MB161" s="1">
        <v>0</v>
      </c>
      <c r="MC161" s="2">
        <v>0.1071047</v>
      </c>
      <c r="MD161" s="1">
        <f t="shared" si="36"/>
        <v>0.1071047</v>
      </c>
      <c r="ME161" s="1">
        <f t="shared" si="37"/>
        <v>0.1071047</v>
      </c>
    </row>
    <row r="162" spans="1:343" x14ac:dyDescent="0.2">
      <c r="A162" s="2">
        <v>8</v>
      </c>
      <c r="B162" s="7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>
        <f t="shared" si="38"/>
        <v>0</v>
      </c>
      <c r="ER162" s="3">
        <f t="shared" si="38"/>
        <v>0</v>
      </c>
      <c r="ES162" s="3">
        <f t="shared" si="38"/>
        <v>0</v>
      </c>
      <c r="ET162" s="3">
        <f t="shared" si="38"/>
        <v>0</v>
      </c>
      <c r="EU162" s="3">
        <f t="shared" si="38"/>
        <v>0</v>
      </c>
      <c r="EV162" s="3">
        <f t="shared" si="38"/>
        <v>0</v>
      </c>
      <c r="EW162" s="3">
        <f t="shared" si="38"/>
        <v>0</v>
      </c>
      <c r="EX162" s="3">
        <f t="shared" si="38"/>
        <v>0</v>
      </c>
      <c r="EY162" s="3">
        <f t="shared" si="38"/>
        <v>0</v>
      </c>
      <c r="EZ162" s="3">
        <f t="shared" si="38"/>
        <v>0</v>
      </c>
      <c r="FA162" s="3">
        <f t="shared" si="38"/>
        <v>0</v>
      </c>
      <c r="FB162" s="3">
        <f t="shared" si="38"/>
        <v>0</v>
      </c>
      <c r="FC162" s="3">
        <f t="shared" si="38"/>
        <v>0</v>
      </c>
      <c r="FD162" s="3">
        <f t="shared" si="38"/>
        <v>0</v>
      </c>
      <c r="FE162" s="3">
        <f t="shared" si="38"/>
        <v>0</v>
      </c>
      <c r="FF162" s="3">
        <f>FF$338</f>
        <v>0</v>
      </c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8"/>
      <c r="LZ162" s="2">
        <v>0.14036680911680899</v>
      </c>
      <c r="MA162" s="1">
        <f t="shared" si="35"/>
        <v>0</v>
      </c>
      <c r="MB162" s="1">
        <v>0</v>
      </c>
      <c r="MC162" s="2">
        <v>0.14036681000000001</v>
      </c>
      <c r="MD162" s="1">
        <f t="shared" si="36"/>
        <v>0.14036681000000001</v>
      </c>
      <c r="ME162" s="1">
        <f t="shared" si="37"/>
        <v>0.14036681000000001</v>
      </c>
    </row>
    <row r="163" spans="1:343" x14ac:dyDescent="0.2">
      <c r="A163" s="2">
        <v>8.5</v>
      </c>
      <c r="B163" s="7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>
        <f t="shared" si="38"/>
        <v>0</v>
      </c>
      <c r="ES163" s="3">
        <f t="shared" si="38"/>
        <v>0</v>
      </c>
      <c r="ET163" s="3">
        <f t="shared" si="38"/>
        <v>0</v>
      </c>
      <c r="EU163" s="3">
        <f t="shared" si="38"/>
        <v>0</v>
      </c>
      <c r="EV163" s="3">
        <f t="shared" si="38"/>
        <v>0</v>
      </c>
      <c r="EW163" s="3">
        <f t="shared" si="38"/>
        <v>0</v>
      </c>
      <c r="EX163" s="3">
        <f t="shared" si="38"/>
        <v>0</v>
      </c>
      <c r="EY163" s="3">
        <f t="shared" si="38"/>
        <v>0</v>
      </c>
      <c r="EZ163" s="3">
        <f t="shared" si="38"/>
        <v>0</v>
      </c>
      <c r="FA163" s="3">
        <f t="shared" si="38"/>
        <v>0</v>
      </c>
      <c r="FB163" s="3">
        <f t="shared" si="38"/>
        <v>0</v>
      </c>
      <c r="FC163" s="3">
        <f t="shared" si="38"/>
        <v>0</v>
      </c>
      <c r="FD163" s="3">
        <f t="shared" si="38"/>
        <v>0</v>
      </c>
      <c r="FE163" s="3">
        <f t="shared" si="38"/>
        <v>0</v>
      </c>
      <c r="FF163" s="3">
        <f t="shared" ref="FF163:GC186" si="39">FF$338</f>
        <v>0</v>
      </c>
      <c r="FG163" s="3">
        <f>FG$338</f>
        <v>0</v>
      </c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8"/>
      <c r="LZ163" s="2">
        <v>0.14036680911680899</v>
      </c>
      <c r="MA163" s="1">
        <f t="shared" si="35"/>
        <v>0</v>
      </c>
      <c r="MB163" s="1">
        <v>0</v>
      </c>
      <c r="MC163" s="2">
        <v>0.14036681000000001</v>
      </c>
      <c r="MD163" s="1">
        <f t="shared" si="36"/>
        <v>0.14036681000000001</v>
      </c>
      <c r="ME163" s="1">
        <f t="shared" si="37"/>
        <v>0.14036681000000001</v>
      </c>
    </row>
    <row r="164" spans="1:343" x14ac:dyDescent="0.2">
      <c r="A164" s="2">
        <v>9</v>
      </c>
      <c r="B164" s="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>
        <f t="shared" si="38"/>
        <v>0</v>
      </c>
      <c r="ET164" s="3">
        <f t="shared" si="38"/>
        <v>0</v>
      </c>
      <c r="EU164" s="3">
        <f t="shared" si="38"/>
        <v>0</v>
      </c>
      <c r="EV164" s="3">
        <f t="shared" si="38"/>
        <v>0</v>
      </c>
      <c r="EW164" s="3">
        <f t="shared" si="38"/>
        <v>0</v>
      </c>
      <c r="EX164" s="3">
        <f t="shared" si="38"/>
        <v>0</v>
      </c>
      <c r="EY164" s="3">
        <f t="shared" si="38"/>
        <v>0</v>
      </c>
      <c r="EZ164" s="3">
        <f t="shared" si="38"/>
        <v>0</v>
      </c>
      <c r="FA164" s="3">
        <f t="shared" si="38"/>
        <v>0</v>
      </c>
      <c r="FB164" s="3">
        <f t="shared" si="38"/>
        <v>0</v>
      </c>
      <c r="FC164" s="3">
        <f t="shared" si="38"/>
        <v>0</v>
      </c>
      <c r="FD164" s="3">
        <f t="shared" si="38"/>
        <v>0</v>
      </c>
      <c r="FE164" s="3">
        <f t="shared" si="38"/>
        <v>0</v>
      </c>
      <c r="FF164" s="3">
        <f t="shared" si="39"/>
        <v>0</v>
      </c>
      <c r="FG164" s="3">
        <f t="shared" si="39"/>
        <v>0</v>
      </c>
      <c r="FH164" s="3">
        <f>FH$338</f>
        <v>0</v>
      </c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8"/>
      <c r="LZ164" s="2">
        <v>0.19182692307692301</v>
      </c>
      <c r="MA164" s="1">
        <f t="shared" si="35"/>
        <v>0</v>
      </c>
      <c r="MB164" s="1">
        <v>0</v>
      </c>
      <c r="MC164" s="2">
        <v>0.19182692000000001</v>
      </c>
      <c r="MD164" s="1">
        <f t="shared" si="36"/>
        <v>0.19182692000000001</v>
      </c>
      <c r="ME164" s="1">
        <f t="shared" si="37"/>
        <v>0.19182692000000001</v>
      </c>
    </row>
    <row r="165" spans="1:343" x14ac:dyDescent="0.2">
      <c r="A165" s="2">
        <v>9.5</v>
      </c>
      <c r="B165" s="7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>
        <f t="shared" si="38"/>
        <v>0</v>
      </c>
      <c r="EU165" s="3">
        <f t="shared" si="38"/>
        <v>0</v>
      </c>
      <c r="EV165" s="3">
        <f t="shared" si="38"/>
        <v>0</v>
      </c>
      <c r="EW165" s="3">
        <f t="shared" si="38"/>
        <v>0</v>
      </c>
      <c r="EX165" s="3">
        <f t="shared" si="38"/>
        <v>0</v>
      </c>
      <c r="EY165" s="3">
        <f t="shared" si="38"/>
        <v>0</v>
      </c>
      <c r="EZ165" s="3">
        <f t="shared" si="38"/>
        <v>0</v>
      </c>
      <c r="FA165" s="3">
        <f t="shared" si="38"/>
        <v>0</v>
      </c>
      <c r="FB165" s="3">
        <f t="shared" si="38"/>
        <v>0</v>
      </c>
      <c r="FC165" s="3">
        <f t="shared" si="38"/>
        <v>0</v>
      </c>
      <c r="FD165" s="3">
        <f t="shared" si="38"/>
        <v>0</v>
      </c>
      <c r="FE165" s="3">
        <f t="shared" si="38"/>
        <v>0</v>
      </c>
      <c r="FF165" s="3">
        <f t="shared" si="39"/>
        <v>0</v>
      </c>
      <c r="FG165" s="3">
        <f t="shared" si="39"/>
        <v>0</v>
      </c>
      <c r="FH165" s="3">
        <f t="shared" si="39"/>
        <v>0</v>
      </c>
      <c r="FI165" s="3">
        <f>FI$338</f>
        <v>0</v>
      </c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8"/>
      <c r="LZ165" s="2">
        <v>0.19182692307692301</v>
      </c>
      <c r="MA165" s="1">
        <f t="shared" si="35"/>
        <v>0</v>
      </c>
      <c r="MB165" s="1">
        <v>0</v>
      </c>
      <c r="MC165" s="2">
        <v>0.19182692000000001</v>
      </c>
      <c r="MD165" s="1">
        <f t="shared" si="36"/>
        <v>0.19182692000000001</v>
      </c>
      <c r="ME165" s="1">
        <f t="shared" si="37"/>
        <v>0.19182692000000001</v>
      </c>
    </row>
    <row r="166" spans="1:343" x14ac:dyDescent="0.2">
      <c r="A166" s="2">
        <v>10</v>
      </c>
      <c r="B166" s="7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>
        <f t="shared" si="38"/>
        <v>0</v>
      </c>
      <c r="EV166" s="3">
        <f t="shared" si="38"/>
        <v>0</v>
      </c>
      <c r="EW166" s="3">
        <f t="shared" si="38"/>
        <v>0</v>
      </c>
      <c r="EX166" s="3">
        <f t="shared" si="38"/>
        <v>0</v>
      </c>
      <c r="EY166" s="3">
        <f t="shared" si="38"/>
        <v>0</v>
      </c>
      <c r="EZ166" s="3">
        <f t="shared" si="38"/>
        <v>0</v>
      </c>
      <c r="FA166" s="3">
        <f t="shared" si="38"/>
        <v>0</v>
      </c>
      <c r="FB166" s="3">
        <f t="shared" si="38"/>
        <v>0</v>
      </c>
      <c r="FC166" s="3">
        <f t="shared" si="38"/>
        <v>0</v>
      </c>
      <c r="FD166" s="3">
        <f t="shared" si="38"/>
        <v>0</v>
      </c>
      <c r="FE166" s="3">
        <f t="shared" si="38"/>
        <v>0</v>
      </c>
      <c r="FF166" s="3">
        <f t="shared" si="39"/>
        <v>0</v>
      </c>
      <c r="FG166" s="3">
        <f t="shared" si="39"/>
        <v>0</v>
      </c>
      <c r="FH166" s="3">
        <f t="shared" si="39"/>
        <v>0</v>
      </c>
      <c r="FI166" s="3">
        <f t="shared" si="39"/>
        <v>0</v>
      </c>
      <c r="FJ166" s="3">
        <f>FJ$338</f>
        <v>0</v>
      </c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8"/>
      <c r="LZ166" s="2">
        <v>0.24366096866096901</v>
      </c>
      <c r="MA166" s="1">
        <f t="shared" si="35"/>
        <v>0</v>
      </c>
      <c r="MB166" s="1">
        <v>0</v>
      </c>
      <c r="MC166" s="2">
        <v>0.24366097</v>
      </c>
      <c r="MD166" s="1">
        <f t="shared" si="36"/>
        <v>0.24366097</v>
      </c>
      <c r="ME166" s="1">
        <f t="shared" si="37"/>
        <v>0.24366097</v>
      </c>
    </row>
    <row r="167" spans="1:343" x14ac:dyDescent="0.2">
      <c r="A167" s="2">
        <v>10.5</v>
      </c>
      <c r="B167" s="7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>
        <f t="shared" si="38"/>
        <v>0</v>
      </c>
      <c r="EW167" s="3">
        <f t="shared" si="38"/>
        <v>0</v>
      </c>
      <c r="EX167" s="3">
        <f t="shared" si="38"/>
        <v>0</v>
      </c>
      <c r="EY167" s="3">
        <f t="shared" si="38"/>
        <v>0</v>
      </c>
      <c r="EZ167" s="3">
        <f t="shared" si="38"/>
        <v>0</v>
      </c>
      <c r="FA167" s="3">
        <f t="shared" si="38"/>
        <v>0</v>
      </c>
      <c r="FB167" s="3">
        <f t="shared" si="38"/>
        <v>0</v>
      </c>
      <c r="FC167" s="3">
        <f t="shared" si="38"/>
        <v>0</v>
      </c>
      <c r="FD167" s="3">
        <f t="shared" si="38"/>
        <v>0</v>
      </c>
      <c r="FE167" s="3">
        <f t="shared" si="38"/>
        <v>0</v>
      </c>
      <c r="FF167" s="3">
        <f t="shared" si="39"/>
        <v>0</v>
      </c>
      <c r="FG167" s="3">
        <f t="shared" si="39"/>
        <v>0</v>
      </c>
      <c r="FH167" s="3">
        <f t="shared" si="39"/>
        <v>0</v>
      </c>
      <c r="FI167" s="3">
        <f t="shared" si="39"/>
        <v>0</v>
      </c>
      <c r="FJ167" s="3">
        <f t="shared" si="39"/>
        <v>0</v>
      </c>
      <c r="FK167" s="3">
        <f>FK$338</f>
        <v>0</v>
      </c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8"/>
      <c r="LZ167" s="2">
        <v>0.24366096866096901</v>
      </c>
      <c r="MA167" s="1">
        <f t="shared" si="35"/>
        <v>0</v>
      </c>
      <c r="MB167" s="1">
        <v>0</v>
      </c>
      <c r="MC167" s="2">
        <v>0.24366097</v>
      </c>
      <c r="MD167" s="1">
        <f t="shared" si="36"/>
        <v>0.24366097</v>
      </c>
      <c r="ME167" s="1">
        <f t="shared" si="37"/>
        <v>0.24366097</v>
      </c>
    </row>
    <row r="168" spans="1:343" x14ac:dyDescent="0.2">
      <c r="A168" s="2">
        <v>11</v>
      </c>
      <c r="B168" s="7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>
        <f t="shared" si="38"/>
        <v>0</v>
      </c>
      <c r="EX168" s="3">
        <f t="shared" si="38"/>
        <v>0</v>
      </c>
      <c r="EY168" s="3">
        <f t="shared" si="38"/>
        <v>0</v>
      </c>
      <c r="EZ168" s="3">
        <f t="shared" si="38"/>
        <v>0</v>
      </c>
      <c r="FA168" s="3">
        <f t="shared" si="38"/>
        <v>0</v>
      </c>
      <c r="FB168" s="3">
        <f t="shared" si="38"/>
        <v>0</v>
      </c>
      <c r="FC168" s="3">
        <f t="shared" si="38"/>
        <v>0</v>
      </c>
      <c r="FD168" s="3">
        <f t="shared" si="38"/>
        <v>0</v>
      </c>
      <c r="FE168" s="3">
        <f t="shared" si="38"/>
        <v>0</v>
      </c>
      <c r="FF168" s="3">
        <f t="shared" si="39"/>
        <v>0</v>
      </c>
      <c r="FG168" s="3">
        <f t="shared" si="39"/>
        <v>0</v>
      </c>
      <c r="FH168" s="3">
        <f t="shared" si="39"/>
        <v>0</v>
      </c>
      <c r="FI168" s="3">
        <f t="shared" si="39"/>
        <v>0</v>
      </c>
      <c r="FJ168" s="3">
        <f t="shared" si="39"/>
        <v>0</v>
      </c>
      <c r="FK168" s="3">
        <f t="shared" si="39"/>
        <v>0</v>
      </c>
      <c r="FL168" s="3">
        <f>FL$338</f>
        <v>0</v>
      </c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8"/>
      <c r="LZ168" s="2">
        <v>0.30067663817663798</v>
      </c>
      <c r="MA168" s="1">
        <f t="shared" si="35"/>
        <v>0</v>
      </c>
      <c r="MB168" s="1">
        <v>0</v>
      </c>
      <c r="MC168" s="2">
        <v>0.30067664</v>
      </c>
      <c r="MD168" s="1">
        <f t="shared" si="36"/>
        <v>0.30067664</v>
      </c>
      <c r="ME168" s="1">
        <f t="shared" si="37"/>
        <v>0.30067664</v>
      </c>
    </row>
    <row r="169" spans="1:343" x14ac:dyDescent="0.2">
      <c r="A169" s="2">
        <v>11.5</v>
      </c>
      <c r="B169" s="7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>
        <f t="shared" si="38"/>
        <v>0</v>
      </c>
      <c r="EY169" s="3">
        <f t="shared" si="38"/>
        <v>0</v>
      </c>
      <c r="EZ169" s="3">
        <f t="shared" si="38"/>
        <v>0</v>
      </c>
      <c r="FA169" s="3">
        <f t="shared" si="38"/>
        <v>0</v>
      </c>
      <c r="FB169" s="3">
        <f t="shared" si="38"/>
        <v>0</v>
      </c>
      <c r="FC169" s="3">
        <f t="shared" si="38"/>
        <v>0</v>
      </c>
      <c r="FD169" s="3">
        <f t="shared" si="38"/>
        <v>0</v>
      </c>
      <c r="FE169" s="3">
        <f t="shared" si="38"/>
        <v>0</v>
      </c>
      <c r="FF169" s="3">
        <f t="shared" si="39"/>
        <v>0</v>
      </c>
      <c r="FG169" s="3">
        <f t="shared" si="39"/>
        <v>0</v>
      </c>
      <c r="FH169" s="3">
        <f t="shared" si="39"/>
        <v>0</v>
      </c>
      <c r="FI169" s="3">
        <f t="shared" si="39"/>
        <v>0</v>
      </c>
      <c r="FJ169" s="3">
        <f t="shared" si="39"/>
        <v>0</v>
      </c>
      <c r="FK169" s="3">
        <f t="shared" si="39"/>
        <v>0</v>
      </c>
      <c r="FL169" s="3">
        <f t="shared" si="39"/>
        <v>0</v>
      </c>
      <c r="FM169" s="3">
        <f>FM$338</f>
        <v>0</v>
      </c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8"/>
      <c r="LZ169" s="2">
        <v>0.30067663817663798</v>
      </c>
      <c r="MA169" s="1">
        <f t="shared" si="35"/>
        <v>0</v>
      </c>
      <c r="MB169" s="1">
        <v>0</v>
      </c>
      <c r="MC169" s="2">
        <v>0.30067664</v>
      </c>
      <c r="MD169" s="1">
        <f t="shared" si="36"/>
        <v>0.30067664</v>
      </c>
      <c r="ME169" s="1">
        <f t="shared" si="37"/>
        <v>0.30067664</v>
      </c>
    </row>
    <row r="170" spans="1:343" x14ac:dyDescent="0.2">
      <c r="A170" s="2">
        <v>12</v>
      </c>
      <c r="B170" s="7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>
        <f t="shared" si="38"/>
        <v>0</v>
      </c>
      <c r="EZ170" s="3">
        <f t="shared" si="38"/>
        <v>0</v>
      </c>
      <c r="FA170" s="3">
        <f t="shared" si="38"/>
        <v>0</v>
      </c>
      <c r="FB170" s="3">
        <f t="shared" si="38"/>
        <v>0</v>
      </c>
      <c r="FC170" s="3">
        <f t="shared" si="38"/>
        <v>0</v>
      </c>
      <c r="FD170" s="3">
        <f t="shared" si="38"/>
        <v>0</v>
      </c>
      <c r="FE170" s="3">
        <f t="shared" si="38"/>
        <v>0</v>
      </c>
      <c r="FF170" s="3">
        <f t="shared" si="39"/>
        <v>0</v>
      </c>
      <c r="FG170" s="3">
        <f t="shared" si="39"/>
        <v>0</v>
      </c>
      <c r="FH170" s="3">
        <f t="shared" si="39"/>
        <v>0</v>
      </c>
      <c r="FI170" s="3">
        <f t="shared" si="39"/>
        <v>0</v>
      </c>
      <c r="FJ170" s="3">
        <f t="shared" si="39"/>
        <v>0</v>
      </c>
      <c r="FK170" s="3">
        <f t="shared" si="39"/>
        <v>0</v>
      </c>
      <c r="FL170" s="3">
        <f t="shared" si="39"/>
        <v>0</v>
      </c>
      <c r="FM170" s="3">
        <f t="shared" si="39"/>
        <v>0</v>
      </c>
      <c r="FN170" s="3">
        <f>FN$338</f>
        <v>0</v>
      </c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8"/>
      <c r="LZ170" s="2">
        <v>0.33926282051282097</v>
      </c>
      <c r="MA170" s="1">
        <f t="shared" si="35"/>
        <v>0</v>
      </c>
      <c r="MB170" s="1">
        <v>0</v>
      </c>
      <c r="MC170" s="2">
        <v>0.33926282000000002</v>
      </c>
      <c r="MD170" s="1">
        <f t="shared" si="36"/>
        <v>0.33926282000000002</v>
      </c>
      <c r="ME170" s="1">
        <f t="shared" si="37"/>
        <v>0.33926282000000002</v>
      </c>
    </row>
    <row r="171" spans="1:343" x14ac:dyDescent="0.2">
      <c r="A171" s="2">
        <v>12.5</v>
      </c>
      <c r="B171" s="7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>
        <f t="shared" si="38"/>
        <v>0</v>
      </c>
      <c r="FA171" s="3">
        <f t="shared" si="38"/>
        <v>0</v>
      </c>
      <c r="FB171" s="3">
        <f t="shared" si="38"/>
        <v>0</v>
      </c>
      <c r="FC171" s="3">
        <f t="shared" si="38"/>
        <v>0</v>
      </c>
      <c r="FD171" s="3">
        <f t="shared" si="38"/>
        <v>0</v>
      </c>
      <c r="FE171" s="3">
        <f t="shared" si="38"/>
        <v>0</v>
      </c>
      <c r="FF171" s="3">
        <f t="shared" si="39"/>
        <v>0</v>
      </c>
      <c r="FG171" s="3">
        <f t="shared" si="39"/>
        <v>0</v>
      </c>
      <c r="FH171" s="3">
        <f t="shared" si="39"/>
        <v>0</v>
      </c>
      <c r="FI171" s="3">
        <f t="shared" si="39"/>
        <v>0</v>
      </c>
      <c r="FJ171" s="3">
        <f t="shared" si="39"/>
        <v>0</v>
      </c>
      <c r="FK171" s="3">
        <f t="shared" si="39"/>
        <v>0</v>
      </c>
      <c r="FL171" s="3">
        <f t="shared" si="39"/>
        <v>0</v>
      </c>
      <c r="FM171" s="3">
        <f t="shared" si="39"/>
        <v>0</v>
      </c>
      <c r="FN171" s="3">
        <f t="shared" si="39"/>
        <v>0</v>
      </c>
      <c r="FO171" s="3">
        <f>FO$338</f>
        <v>0</v>
      </c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8"/>
      <c r="LZ171" s="2">
        <v>0.33926282051282097</v>
      </c>
      <c r="MA171" s="1">
        <f t="shared" si="35"/>
        <v>0</v>
      </c>
      <c r="MB171" s="1">
        <v>0</v>
      </c>
      <c r="MC171" s="2">
        <v>0.33926282000000002</v>
      </c>
      <c r="MD171" s="1">
        <f t="shared" si="36"/>
        <v>0.33926282000000002</v>
      </c>
      <c r="ME171" s="1">
        <f t="shared" si="37"/>
        <v>0.33926282000000002</v>
      </c>
    </row>
    <row r="172" spans="1:343" x14ac:dyDescent="0.2">
      <c r="A172" s="2">
        <v>13</v>
      </c>
      <c r="B172" s="7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>
        <f t="shared" si="38"/>
        <v>0</v>
      </c>
      <c r="FB172" s="3">
        <f t="shared" si="38"/>
        <v>0</v>
      </c>
      <c r="FC172" s="3">
        <f t="shared" si="38"/>
        <v>0</v>
      </c>
      <c r="FD172" s="3">
        <f t="shared" si="38"/>
        <v>0</v>
      </c>
      <c r="FE172" s="3">
        <f t="shared" si="38"/>
        <v>0</v>
      </c>
      <c r="FF172" s="3">
        <f t="shared" si="39"/>
        <v>0</v>
      </c>
      <c r="FG172" s="3">
        <f t="shared" si="39"/>
        <v>0</v>
      </c>
      <c r="FH172" s="3">
        <f t="shared" si="39"/>
        <v>0</v>
      </c>
      <c r="FI172" s="3">
        <f t="shared" si="39"/>
        <v>0</v>
      </c>
      <c r="FJ172" s="3">
        <f t="shared" si="39"/>
        <v>0</v>
      </c>
      <c r="FK172" s="3">
        <f t="shared" si="39"/>
        <v>0</v>
      </c>
      <c r="FL172" s="3">
        <f t="shared" si="39"/>
        <v>0</v>
      </c>
      <c r="FM172" s="3">
        <f t="shared" si="39"/>
        <v>0</v>
      </c>
      <c r="FN172" s="3">
        <f t="shared" si="39"/>
        <v>0</v>
      </c>
      <c r="FO172" s="3">
        <f t="shared" si="39"/>
        <v>0</v>
      </c>
      <c r="FP172" s="3">
        <f>FP$338</f>
        <v>0</v>
      </c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8"/>
      <c r="LZ172" s="2">
        <v>0.38520299145299097</v>
      </c>
      <c r="MA172" s="1">
        <f t="shared" si="35"/>
        <v>0</v>
      </c>
      <c r="MB172" s="1">
        <v>0</v>
      </c>
      <c r="MC172" s="2">
        <v>0.38520299000000002</v>
      </c>
      <c r="MD172" s="1">
        <f t="shared" si="36"/>
        <v>0.38520299000000002</v>
      </c>
      <c r="ME172" s="1">
        <f t="shared" si="37"/>
        <v>0.38520299000000002</v>
      </c>
    </row>
    <row r="173" spans="1:343" x14ac:dyDescent="0.2">
      <c r="A173" s="2">
        <v>13.5</v>
      </c>
      <c r="B173" s="7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>
        <f t="shared" si="38"/>
        <v>0</v>
      </c>
      <c r="FC173" s="3">
        <f t="shared" si="38"/>
        <v>0</v>
      </c>
      <c r="FD173" s="3">
        <f t="shared" si="38"/>
        <v>0</v>
      </c>
      <c r="FE173" s="3">
        <f t="shared" si="38"/>
        <v>0</v>
      </c>
      <c r="FF173" s="3">
        <f t="shared" si="39"/>
        <v>0</v>
      </c>
      <c r="FG173" s="3">
        <f t="shared" si="39"/>
        <v>0</v>
      </c>
      <c r="FH173" s="3">
        <f t="shared" si="39"/>
        <v>0</v>
      </c>
      <c r="FI173" s="3">
        <f t="shared" si="39"/>
        <v>0</v>
      </c>
      <c r="FJ173" s="3">
        <f t="shared" si="39"/>
        <v>0</v>
      </c>
      <c r="FK173" s="3">
        <f t="shared" si="39"/>
        <v>0</v>
      </c>
      <c r="FL173" s="3">
        <f t="shared" si="39"/>
        <v>0</v>
      </c>
      <c r="FM173" s="3">
        <f t="shared" si="39"/>
        <v>0</v>
      </c>
      <c r="FN173" s="3">
        <f t="shared" si="39"/>
        <v>0</v>
      </c>
      <c r="FO173" s="3">
        <f t="shared" si="39"/>
        <v>0</v>
      </c>
      <c r="FP173" s="3">
        <f t="shared" si="39"/>
        <v>0</v>
      </c>
      <c r="FQ173" s="3">
        <f>FQ$338</f>
        <v>0</v>
      </c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8"/>
      <c r="LZ173" s="2">
        <v>0.38520299145299097</v>
      </c>
      <c r="MA173" s="1">
        <f t="shared" si="35"/>
        <v>0</v>
      </c>
      <c r="MB173" s="1">
        <v>0</v>
      </c>
      <c r="MC173" s="2">
        <v>0.38520299000000002</v>
      </c>
      <c r="MD173" s="1">
        <f t="shared" si="36"/>
        <v>0.38520299000000002</v>
      </c>
      <c r="ME173" s="1">
        <f t="shared" si="37"/>
        <v>0.38520299000000002</v>
      </c>
    </row>
    <row r="174" spans="1:343" x14ac:dyDescent="0.2">
      <c r="A174" s="2">
        <v>14</v>
      </c>
      <c r="B174" s="7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>
        <f t="shared" si="38"/>
        <v>0</v>
      </c>
      <c r="FD174" s="3">
        <f t="shared" si="38"/>
        <v>0</v>
      </c>
      <c r="FE174" s="3">
        <f t="shared" si="38"/>
        <v>0</v>
      </c>
      <c r="FF174" s="3">
        <f t="shared" si="39"/>
        <v>0</v>
      </c>
      <c r="FG174" s="3">
        <f t="shared" si="39"/>
        <v>0</v>
      </c>
      <c r="FH174" s="3">
        <f t="shared" si="39"/>
        <v>0</v>
      </c>
      <c r="FI174" s="3">
        <f t="shared" si="39"/>
        <v>0</v>
      </c>
      <c r="FJ174" s="3">
        <f t="shared" si="39"/>
        <v>0</v>
      </c>
      <c r="FK174" s="3">
        <f t="shared" si="39"/>
        <v>0</v>
      </c>
      <c r="FL174" s="3">
        <f t="shared" si="39"/>
        <v>0</v>
      </c>
      <c r="FM174" s="3">
        <f t="shared" si="39"/>
        <v>0</v>
      </c>
      <c r="FN174" s="3">
        <f t="shared" si="39"/>
        <v>0</v>
      </c>
      <c r="FO174" s="3">
        <f t="shared" si="39"/>
        <v>0</v>
      </c>
      <c r="FP174" s="3">
        <f t="shared" si="39"/>
        <v>0</v>
      </c>
      <c r="FQ174" s="3">
        <f t="shared" si="39"/>
        <v>0</v>
      </c>
      <c r="FR174" s="3">
        <f>FR$338</f>
        <v>0</v>
      </c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8"/>
      <c r="LZ174" s="2">
        <v>0.40991809116809103</v>
      </c>
      <c r="MA174" s="1">
        <f t="shared" si="35"/>
        <v>0</v>
      </c>
      <c r="MB174" s="1">
        <v>0</v>
      </c>
      <c r="MC174" s="2">
        <v>0.40991809000000001</v>
      </c>
      <c r="MD174" s="1">
        <f t="shared" si="36"/>
        <v>0.40991809000000001</v>
      </c>
      <c r="ME174" s="1">
        <f t="shared" si="37"/>
        <v>0.40991809000000001</v>
      </c>
    </row>
    <row r="175" spans="1:343" x14ac:dyDescent="0.2">
      <c r="A175" s="2">
        <v>14.5</v>
      </c>
      <c r="B175" s="7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>
        <f t="shared" si="38"/>
        <v>0</v>
      </c>
      <c r="FE175" s="3">
        <f t="shared" si="38"/>
        <v>0</v>
      </c>
      <c r="FF175" s="3">
        <f t="shared" si="39"/>
        <v>0</v>
      </c>
      <c r="FG175" s="3">
        <f t="shared" si="39"/>
        <v>0</v>
      </c>
      <c r="FH175" s="3">
        <f t="shared" si="39"/>
        <v>0</v>
      </c>
      <c r="FI175" s="3">
        <f t="shared" si="39"/>
        <v>0</v>
      </c>
      <c r="FJ175" s="3">
        <f t="shared" si="39"/>
        <v>0</v>
      </c>
      <c r="FK175" s="3">
        <f t="shared" si="39"/>
        <v>0</v>
      </c>
      <c r="FL175" s="3">
        <f t="shared" si="39"/>
        <v>0</v>
      </c>
      <c r="FM175" s="3">
        <f t="shared" si="39"/>
        <v>0</v>
      </c>
      <c r="FN175" s="3">
        <f t="shared" si="39"/>
        <v>0</v>
      </c>
      <c r="FO175" s="3">
        <f t="shared" si="39"/>
        <v>0</v>
      </c>
      <c r="FP175" s="3">
        <f t="shared" si="39"/>
        <v>0</v>
      </c>
      <c r="FQ175" s="3">
        <f t="shared" si="39"/>
        <v>0</v>
      </c>
      <c r="FR175" s="3">
        <f t="shared" si="39"/>
        <v>0</v>
      </c>
      <c r="FS175" s="3">
        <f>FS$338</f>
        <v>0</v>
      </c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8"/>
      <c r="LZ175" s="2">
        <v>0.40991809116809103</v>
      </c>
      <c r="MA175" s="1">
        <f t="shared" si="35"/>
        <v>0</v>
      </c>
      <c r="MB175" s="1">
        <v>0</v>
      </c>
      <c r="MC175" s="2">
        <v>0.40991809000000001</v>
      </c>
      <c r="MD175" s="1">
        <f t="shared" si="36"/>
        <v>0.40991809000000001</v>
      </c>
      <c r="ME175" s="1">
        <f t="shared" si="37"/>
        <v>0.40991809000000001</v>
      </c>
    </row>
    <row r="176" spans="1:343" x14ac:dyDescent="0.2">
      <c r="A176" s="2">
        <v>15</v>
      </c>
      <c r="B176" s="7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>
        <f t="shared" si="38"/>
        <v>0</v>
      </c>
      <c r="FF176" s="3">
        <f t="shared" si="39"/>
        <v>0</v>
      </c>
      <c r="FG176" s="3">
        <f t="shared" si="39"/>
        <v>0</v>
      </c>
      <c r="FH176" s="3">
        <f t="shared" si="39"/>
        <v>0</v>
      </c>
      <c r="FI176" s="3">
        <f t="shared" si="39"/>
        <v>0</v>
      </c>
      <c r="FJ176" s="3">
        <f t="shared" si="39"/>
        <v>0</v>
      </c>
      <c r="FK176" s="3">
        <f t="shared" si="39"/>
        <v>0</v>
      </c>
      <c r="FL176" s="3">
        <f t="shared" si="39"/>
        <v>0</v>
      </c>
      <c r="FM176" s="3">
        <f t="shared" si="39"/>
        <v>0</v>
      </c>
      <c r="FN176" s="3">
        <f t="shared" si="39"/>
        <v>0</v>
      </c>
      <c r="FO176" s="3">
        <f t="shared" si="39"/>
        <v>0</v>
      </c>
      <c r="FP176" s="3">
        <f t="shared" si="39"/>
        <v>0</v>
      </c>
      <c r="FQ176" s="3">
        <f t="shared" si="39"/>
        <v>0</v>
      </c>
      <c r="FR176" s="3">
        <f t="shared" si="39"/>
        <v>0</v>
      </c>
      <c r="FS176" s="3">
        <f t="shared" si="39"/>
        <v>0</v>
      </c>
      <c r="FT176" s="3">
        <f>FT$338</f>
        <v>0</v>
      </c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8"/>
      <c r="LZ176" s="2">
        <v>0.42849002849002799</v>
      </c>
      <c r="MA176" s="1">
        <f t="shared" si="35"/>
        <v>0</v>
      </c>
      <c r="MB176" s="1">
        <v>0</v>
      </c>
      <c r="MC176" s="2">
        <v>0.42849003000000002</v>
      </c>
      <c r="MD176" s="1">
        <f t="shared" si="36"/>
        <v>0.42849003000000002</v>
      </c>
      <c r="ME176" s="1">
        <f t="shared" si="37"/>
        <v>0.42849003000000002</v>
      </c>
    </row>
    <row r="177" spans="1:343" x14ac:dyDescent="0.2">
      <c r="A177" s="2">
        <v>15.5</v>
      </c>
      <c r="B177" s="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>
        <f t="shared" si="39"/>
        <v>0</v>
      </c>
      <c r="FG177" s="3">
        <f t="shared" si="39"/>
        <v>0</v>
      </c>
      <c r="FH177" s="3">
        <f t="shared" si="39"/>
        <v>0</v>
      </c>
      <c r="FI177" s="3">
        <f t="shared" si="39"/>
        <v>0</v>
      </c>
      <c r="FJ177" s="3">
        <f t="shared" si="39"/>
        <v>0</v>
      </c>
      <c r="FK177" s="3">
        <f t="shared" si="39"/>
        <v>0</v>
      </c>
      <c r="FL177" s="3">
        <f t="shared" si="39"/>
        <v>0</v>
      </c>
      <c r="FM177" s="3">
        <f t="shared" si="39"/>
        <v>0</v>
      </c>
      <c r="FN177" s="3">
        <f t="shared" si="39"/>
        <v>0</v>
      </c>
      <c r="FO177" s="3">
        <f t="shared" si="39"/>
        <v>0</v>
      </c>
      <c r="FP177" s="3">
        <f t="shared" si="39"/>
        <v>0</v>
      </c>
      <c r="FQ177" s="3">
        <f t="shared" si="39"/>
        <v>0</v>
      </c>
      <c r="FR177" s="3">
        <f t="shared" si="39"/>
        <v>0</v>
      </c>
      <c r="FS177" s="3">
        <f t="shared" si="39"/>
        <v>0</v>
      </c>
      <c r="FT177" s="3">
        <f t="shared" si="39"/>
        <v>0</v>
      </c>
      <c r="FU177" s="3">
        <f>FU$338</f>
        <v>0</v>
      </c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8"/>
      <c r="LZ177" s="2">
        <v>0.42849002849002799</v>
      </c>
      <c r="MA177" s="1">
        <f t="shared" si="35"/>
        <v>0</v>
      </c>
      <c r="MB177" s="1">
        <v>0</v>
      </c>
      <c r="MC177" s="2">
        <v>0.42849003000000002</v>
      </c>
      <c r="MD177" s="1">
        <f t="shared" si="36"/>
        <v>0.42849003000000002</v>
      </c>
      <c r="ME177" s="1">
        <f t="shared" si="37"/>
        <v>0.42849003000000002</v>
      </c>
    </row>
    <row r="178" spans="1:343" x14ac:dyDescent="0.2">
      <c r="A178" s="2">
        <v>16</v>
      </c>
      <c r="B178" s="7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>
        <f t="shared" si="39"/>
        <v>0</v>
      </c>
      <c r="FH178" s="3">
        <f t="shared" si="39"/>
        <v>0</v>
      </c>
      <c r="FI178" s="3">
        <f t="shared" si="39"/>
        <v>0</v>
      </c>
      <c r="FJ178" s="3">
        <f t="shared" si="39"/>
        <v>0</v>
      </c>
      <c r="FK178" s="3">
        <f t="shared" si="39"/>
        <v>0</v>
      </c>
      <c r="FL178" s="3">
        <f t="shared" si="39"/>
        <v>0</v>
      </c>
      <c r="FM178" s="3">
        <f t="shared" si="39"/>
        <v>0</v>
      </c>
      <c r="FN178" s="3">
        <f t="shared" si="39"/>
        <v>0</v>
      </c>
      <c r="FO178" s="3">
        <f t="shared" si="39"/>
        <v>0</v>
      </c>
      <c r="FP178" s="3">
        <f t="shared" si="39"/>
        <v>0</v>
      </c>
      <c r="FQ178" s="3">
        <f t="shared" si="39"/>
        <v>0</v>
      </c>
      <c r="FR178" s="3">
        <f t="shared" si="39"/>
        <v>0</v>
      </c>
      <c r="FS178" s="3">
        <f t="shared" si="39"/>
        <v>0</v>
      </c>
      <c r="FT178" s="3">
        <f t="shared" si="39"/>
        <v>0</v>
      </c>
      <c r="FU178" s="3">
        <f t="shared" si="39"/>
        <v>0</v>
      </c>
      <c r="FV178" s="3">
        <f>FV$338</f>
        <v>1</v>
      </c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8"/>
      <c r="LZ178" s="2">
        <v>0.45906339031339</v>
      </c>
      <c r="MA178" s="1">
        <f t="shared" si="35"/>
        <v>1</v>
      </c>
      <c r="MB178" s="1">
        <v>0.54093661000000004</v>
      </c>
      <c r="MC178" s="2">
        <v>0</v>
      </c>
      <c r="MD178" s="1">
        <f t="shared" si="36"/>
        <v>0.45906338999999996</v>
      </c>
      <c r="ME178" s="1">
        <f t="shared" si="37"/>
        <v>0.54093661000000004</v>
      </c>
    </row>
    <row r="179" spans="1:343" x14ac:dyDescent="0.2">
      <c r="A179" s="2">
        <v>16.5</v>
      </c>
      <c r="B179" s="7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>
        <f t="shared" si="39"/>
        <v>0</v>
      </c>
      <c r="FI179" s="3">
        <f t="shared" si="39"/>
        <v>0</v>
      </c>
      <c r="FJ179" s="3">
        <f t="shared" si="39"/>
        <v>0</v>
      </c>
      <c r="FK179" s="3">
        <f t="shared" si="39"/>
        <v>0</v>
      </c>
      <c r="FL179" s="3">
        <f t="shared" si="39"/>
        <v>0</v>
      </c>
      <c r="FM179" s="3">
        <f t="shared" si="39"/>
        <v>0</v>
      </c>
      <c r="FN179" s="3">
        <f t="shared" si="39"/>
        <v>0</v>
      </c>
      <c r="FO179" s="3">
        <f t="shared" si="39"/>
        <v>0</v>
      </c>
      <c r="FP179" s="3">
        <f t="shared" si="39"/>
        <v>0</v>
      </c>
      <c r="FQ179" s="3">
        <f t="shared" si="39"/>
        <v>0</v>
      </c>
      <c r="FR179" s="3">
        <f t="shared" si="39"/>
        <v>0</v>
      </c>
      <c r="FS179" s="3">
        <f t="shared" si="39"/>
        <v>0</v>
      </c>
      <c r="FT179" s="3">
        <f t="shared" si="39"/>
        <v>0</v>
      </c>
      <c r="FU179" s="3">
        <f t="shared" si="39"/>
        <v>0</v>
      </c>
      <c r="FV179" s="3">
        <f t="shared" si="39"/>
        <v>1</v>
      </c>
      <c r="FW179" s="3">
        <f>FW$338</f>
        <v>0</v>
      </c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8"/>
      <c r="LZ179" s="2">
        <v>0.45906339031339</v>
      </c>
      <c r="MA179" s="1">
        <f t="shared" si="35"/>
        <v>1</v>
      </c>
      <c r="MB179" s="1">
        <v>0.54093661000000004</v>
      </c>
      <c r="MC179" s="2">
        <v>0</v>
      </c>
      <c r="MD179" s="1">
        <f t="shared" si="36"/>
        <v>0.45906338999999996</v>
      </c>
      <c r="ME179" s="1">
        <f t="shared" si="37"/>
        <v>0.54093661000000004</v>
      </c>
    </row>
    <row r="180" spans="1:343" x14ac:dyDescent="0.2">
      <c r="A180" s="2">
        <v>17</v>
      </c>
      <c r="B180" s="7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>
        <f t="shared" si="39"/>
        <v>0</v>
      </c>
      <c r="FJ180" s="3">
        <f t="shared" si="39"/>
        <v>0</v>
      </c>
      <c r="FK180" s="3">
        <f t="shared" si="39"/>
        <v>0</v>
      </c>
      <c r="FL180" s="3">
        <f t="shared" si="39"/>
        <v>0</v>
      </c>
      <c r="FM180" s="3">
        <f t="shared" si="39"/>
        <v>0</v>
      </c>
      <c r="FN180" s="3">
        <f t="shared" si="39"/>
        <v>0</v>
      </c>
      <c r="FO180" s="3">
        <f t="shared" si="39"/>
        <v>0</v>
      </c>
      <c r="FP180" s="3">
        <f t="shared" si="39"/>
        <v>0</v>
      </c>
      <c r="FQ180" s="3">
        <f t="shared" si="39"/>
        <v>0</v>
      </c>
      <c r="FR180" s="3">
        <f t="shared" si="39"/>
        <v>0</v>
      </c>
      <c r="FS180" s="3">
        <f t="shared" si="39"/>
        <v>0</v>
      </c>
      <c r="FT180" s="3">
        <f t="shared" si="39"/>
        <v>0</v>
      </c>
      <c r="FU180" s="3">
        <f t="shared" si="39"/>
        <v>0</v>
      </c>
      <c r="FV180" s="3">
        <f t="shared" si="39"/>
        <v>1</v>
      </c>
      <c r="FW180" s="3">
        <f t="shared" si="39"/>
        <v>0</v>
      </c>
      <c r="FX180" s="3">
        <f>FX$338</f>
        <v>0</v>
      </c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8"/>
      <c r="LZ180" s="2">
        <v>0.51517094017094001</v>
      </c>
      <c r="MA180" s="1">
        <f t="shared" si="35"/>
        <v>1</v>
      </c>
      <c r="MB180" s="1">
        <v>0.48482905999999998</v>
      </c>
      <c r="MC180" s="2">
        <v>0</v>
      </c>
      <c r="MD180" s="1">
        <f t="shared" si="36"/>
        <v>0.51517093999999997</v>
      </c>
      <c r="ME180" s="1">
        <f t="shared" si="37"/>
        <v>0.48482905999999998</v>
      </c>
    </row>
    <row r="181" spans="1:343" x14ac:dyDescent="0.2">
      <c r="A181" s="2">
        <v>17.5</v>
      </c>
      <c r="B181" s="7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>
        <f t="shared" si="39"/>
        <v>0</v>
      </c>
      <c r="FK181" s="3">
        <f t="shared" si="39"/>
        <v>0</v>
      </c>
      <c r="FL181" s="3">
        <f t="shared" si="39"/>
        <v>0</v>
      </c>
      <c r="FM181" s="3">
        <f t="shared" si="39"/>
        <v>0</v>
      </c>
      <c r="FN181" s="3">
        <f t="shared" si="39"/>
        <v>0</v>
      </c>
      <c r="FO181" s="3">
        <f t="shared" si="39"/>
        <v>0</v>
      </c>
      <c r="FP181" s="3">
        <f t="shared" si="39"/>
        <v>0</v>
      </c>
      <c r="FQ181" s="3">
        <f t="shared" si="39"/>
        <v>0</v>
      </c>
      <c r="FR181" s="3">
        <f t="shared" si="39"/>
        <v>0</v>
      </c>
      <c r="FS181" s="3">
        <f t="shared" si="39"/>
        <v>0</v>
      </c>
      <c r="FT181" s="3">
        <f t="shared" si="39"/>
        <v>0</v>
      </c>
      <c r="FU181" s="3">
        <f t="shared" si="39"/>
        <v>0</v>
      </c>
      <c r="FV181" s="3">
        <f t="shared" si="39"/>
        <v>1</v>
      </c>
      <c r="FW181" s="3">
        <f t="shared" si="39"/>
        <v>0</v>
      </c>
      <c r="FX181" s="3">
        <f t="shared" si="39"/>
        <v>0</v>
      </c>
      <c r="FY181" s="3">
        <f>FY$338</f>
        <v>0</v>
      </c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8"/>
      <c r="LZ181" s="2">
        <v>0.51517094017094001</v>
      </c>
      <c r="MA181" s="1">
        <f t="shared" si="35"/>
        <v>1</v>
      </c>
      <c r="MB181" s="1">
        <v>0.48482905999999998</v>
      </c>
      <c r="MC181" s="2">
        <v>0</v>
      </c>
      <c r="MD181" s="1">
        <f t="shared" si="36"/>
        <v>0.51517093999999997</v>
      </c>
      <c r="ME181" s="1">
        <f t="shared" si="37"/>
        <v>0.48482905999999998</v>
      </c>
    </row>
    <row r="182" spans="1:343" x14ac:dyDescent="0.2">
      <c r="A182" s="2">
        <v>18</v>
      </c>
      <c r="B182" s="7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>
        <f t="shared" si="39"/>
        <v>0</v>
      </c>
      <c r="FL182" s="3">
        <f t="shared" si="39"/>
        <v>0</v>
      </c>
      <c r="FM182" s="3">
        <f t="shared" si="39"/>
        <v>0</v>
      </c>
      <c r="FN182" s="3">
        <f t="shared" si="39"/>
        <v>0</v>
      </c>
      <c r="FO182" s="3">
        <f t="shared" si="39"/>
        <v>0</v>
      </c>
      <c r="FP182" s="3">
        <f t="shared" si="39"/>
        <v>0</v>
      </c>
      <c r="FQ182" s="3">
        <f t="shared" si="39"/>
        <v>0</v>
      </c>
      <c r="FR182" s="3">
        <f t="shared" si="39"/>
        <v>0</v>
      </c>
      <c r="FS182" s="3">
        <f t="shared" si="39"/>
        <v>0</v>
      </c>
      <c r="FT182" s="3">
        <f t="shared" si="39"/>
        <v>0</v>
      </c>
      <c r="FU182" s="3">
        <f t="shared" si="39"/>
        <v>0</v>
      </c>
      <c r="FV182" s="3">
        <f t="shared" si="39"/>
        <v>1</v>
      </c>
      <c r="FW182" s="3">
        <f t="shared" si="39"/>
        <v>0</v>
      </c>
      <c r="FX182" s="3">
        <f t="shared" si="39"/>
        <v>0</v>
      </c>
      <c r="FY182" s="3">
        <f t="shared" si="39"/>
        <v>0</v>
      </c>
      <c r="FZ182" s="3">
        <f>FZ$338</f>
        <v>0</v>
      </c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8"/>
      <c r="LZ182" s="2">
        <v>0.60568019943019902</v>
      </c>
      <c r="MA182" s="1">
        <f t="shared" si="35"/>
        <v>1</v>
      </c>
      <c r="MB182" s="1">
        <v>0.3943198</v>
      </c>
      <c r="MC182" s="2">
        <v>0</v>
      </c>
      <c r="MD182" s="1">
        <f t="shared" si="36"/>
        <v>0.6056802</v>
      </c>
      <c r="ME182" s="1">
        <f t="shared" si="37"/>
        <v>0.3943198</v>
      </c>
    </row>
    <row r="183" spans="1:343" x14ac:dyDescent="0.2">
      <c r="A183" s="2">
        <v>18.5</v>
      </c>
      <c r="B183" s="7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>
        <f t="shared" si="39"/>
        <v>0</v>
      </c>
      <c r="FM183" s="3">
        <f t="shared" si="39"/>
        <v>0</v>
      </c>
      <c r="FN183" s="3">
        <f t="shared" si="39"/>
        <v>0</v>
      </c>
      <c r="FO183" s="3">
        <f t="shared" si="39"/>
        <v>0</v>
      </c>
      <c r="FP183" s="3">
        <f t="shared" si="39"/>
        <v>0</v>
      </c>
      <c r="FQ183" s="3">
        <f t="shared" si="39"/>
        <v>0</v>
      </c>
      <c r="FR183" s="3">
        <f t="shared" si="39"/>
        <v>0</v>
      </c>
      <c r="FS183" s="3">
        <f t="shared" si="39"/>
        <v>0</v>
      </c>
      <c r="FT183" s="3">
        <f t="shared" si="39"/>
        <v>0</v>
      </c>
      <c r="FU183" s="3">
        <f t="shared" si="39"/>
        <v>0</v>
      </c>
      <c r="FV183" s="3">
        <f t="shared" si="39"/>
        <v>1</v>
      </c>
      <c r="FW183" s="3">
        <f t="shared" si="39"/>
        <v>0</v>
      </c>
      <c r="FX183" s="3">
        <f t="shared" si="39"/>
        <v>0</v>
      </c>
      <c r="FY183" s="3">
        <f t="shared" si="39"/>
        <v>0</v>
      </c>
      <c r="FZ183" s="3">
        <f t="shared" si="39"/>
        <v>0</v>
      </c>
      <c r="GA183" s="3">
        <f>GA$338</f>
        <v>0</v>
      </c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8"/>
      <c r="LZ183" s="2">
        <v>0.60568019943019902</v>
      </c>
      <c r="MA183" s="1">
        <f t="shared" si="35"/>
        <v>1</v>
      </c>
      <c r="MB183" s="1">
        <v>0.3943198</v>
      </c>
      <c r="MC183" s="2">
        <v>0</v>
      </c>
      <c r="MD183" s="1">
        <f t="shared" si="36"/>
        <v>0.6056802</v>
      </c>
      <c r="ME183" s="1">
        <f t="shared" si="37"/>
        <v>0.3943198</v>
      </c>
    </row>
    <row r="184" spans="1:343" x14ac:dyDescent="0.2">
      <c r="A184" s="2">
        <v>19</v>
      </c>
      <c r="B184" s="7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>
        <f t="shared" si="39"/>
        <v>0</v>
      </c>
      <c r="FN184" s="3">
        <f t="shared" si="39"/>
        <v>0</v>
      </c>
      <c r="FO184" s="3">
        <f t="shared" si="39"/>
        <v>0</v>
      </c>
      <c r="FP184" s="3">
        <f t="shared" si="39"/>
        <v>0</v>
      </c>
      <c r="FQ184" s="3">
        <f t="shared" si="39"/>
        <v>0</v>
      </c>
      <c r="FR184" s="3">
        <f t="shared" si="39"/>
        <v>0</v>
      </c>
      <c r="FS184" s="3">
        <f t="shared" si="39"/>
        <v>0</v>
      </c>
      <c r="FT184" s="3">
        <f t="shared" si="39"/>
        <v>0</v>
      </c>
      <c r="FU184" s="3">
        <f t="shared" si="39"/>
        <v>0</v>
      </c>
      <c r="FV184" s="3">
        <f t="shared" si="39"/>
        <v>1</v>
      </c>
      <c r="FW184" s="3">
        <f t="shared" si="39"/>
        <v>0</v>
      </c>
      <c r="FX184" s="3">
        <f t="shared" si="39"/>
        <v>0</v>
      </c>
      <c r="FY184" s="3">
        <f t="shared" si="39"/>
        <v>0</v>
      </c>
      <c r="FZ184" s="3">
        <f t="shared" si="39"/>
        <v>0</v>
      </c>
      <c r="GA184" s="3">
        <f t="shared" si="39"/>
        <v>0</v>
      </c>
      <c r="GB184" s="3">
        <f>GB$338</f>
        <v>0</v>
      </c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8"/>
      <c r="LZ184" s="2">
        <v>0.70619658119658102</v>
      </c>
      <c r="MA184" s="1">
        <f t="shared" si="35"/>
        <v>1</v>
      </c>
      <c r="MB184" s="1">
        <v>0.29380341999999998</v>
      </c>
      <c r="MC184" s="2">
        <v>0</v>
      </c>
      <c r="MD184" s="1">
        <f t="shared" si="36"/>
        <v>0.70619658000000007</v>
      </c>
      <c r="ME184" s="1">
        <f t="shared" si="37"/>
        <v>0.29380341999999998</v>
      </c>
    </row>
    <row r="185" spans="1:343" x14ac:dyDescent="0.2">
      <c r="A185" s="2">
        <v>19.5</v>
      </c>
      <c r="B185" s="7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>
        <f t="shared" si="39"/>
        <v>0</v>
      </c>
      <c r="FO185" s="3">
        <f t="shared" si="39"/>
        <v>0</v>
      </c>
      <c r="FP185" s="3">
        <f t="shared" si="39"/>
        <v>0</v>
      </c>
      <c r="FQ185" s="3">
        <f t="shared" si="39"/>
        <v>0</v>
      </c>
      <c r="FR185" s="3">
        <f t="shared" si="39"/>
        <v>0</v>
      </c>
      <c r="FS185" s="3">
        <f t="shared" si="39"/>
        <v>0</v>
      </c>
      <c r="FT185" s="3">
        <f t="shared" si="39"/>
        <v>0</v>
      </c>
      <c r="FU185" s="3">
        <f t="shared" si="39"/>
        <v>0</v>
      </c>
      <c r="FV185" s="3">
        <f t="shared" si="39"/>
        <v>1</v>
      </c>
      <c r="FW185" s="3">
        <f t="shared" si="39"/>
        <v>0</v>
      </c>
      <c r="FX185" s="3">
        <f t="shared" si="39"/>
        <v>0</v>
      </c>
      <c r="FY185" s="3">
        <f t="shared" si="39"/>
        <v>0</v>
      </c>
      <c r="FZ185" s="3">
        <f t="shared" si="39"/>
        <v>0</v>
      </c>
      <c r="GA185" s="3">
        <f t="shared" si="39"/>
        <v>0</v>
      </c>
      <c r="GB185" s="3">
        <f t="shared" si="39"/>
        <v>0</v>
      </c>
      <c r="GC185" s="3">
        <f>GC$338</f>
        <v>0</v>
      </c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8"/>
      <c r="LZ185" s="2">
        <v>0.70619658119658102</v>
      </c>
      <c r="MA185" s="1">
        <f t="shared" si="35"/>
        <v>1</v>
      </c>
      <c r="MB185" s="1">
        <v>0.29380341999999998</v>
      </c>
      <c r="MC185" s="2">
        <v>0</v>
      </c>
      <c r="MD185" s="1">
        <f t="shared" si="36"/>
        <v>0.70619658000000007</v>
      </c>
      <c r="ME185" s="1">
        <f t="shared" si="37"/>
        <v>0.29380341999999998</v>
      </c>
    </row>
    <row r="186" spans="1:343" x14ac:dyDescent="0.2">
      <c r="A186" s="2">
        <v>20</v>
      </c>
      <c r="B186" s="7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>
        <f t="shared" si="39"/>
        <v>0</v>
      </c>
      <c r="FP186" s="3">
        <f t="shared" si="39"/>
        <v>0</v>
      </c>
      <c r="FQ186" s="3">
        <f t="shared" si="39"/>
        <v>0</v>
      </c>
      <c r="FR186" s="3">
        <f t="shared" si="39"/>
        <v>0</v>
      </c>
      <c r="FS186" s="3">
        <f t="shared" si="39"/>
        <v>0</v>
      </c>
      <c r="FT186" s="3">
        <f t="shared" si="39"/>
        <v>0</v>
      </c>
      <c r="FU186" s="3">
        <f t="shared" si="39"/>
        <v>0</v>
      </c>
      <c r="FV186" s="3">
        <f t="shared" si="39"/>
        <v>1</v>
      </c>
      <c r="FW186" s="3">
        <f t="shared" si="39"/>
        <v>0</v>
      </c>
      <c r="FX186" s="3">
        <f t="shared" si="39"/>
        <v>0</v>
      </c>
      <c r="FY186" s="3">
        <f t="shared" si="39"/>
        <v>0</v>
      </c>
      <c r="FZ186" s="3">
        <f t="shared" si="39"/>
        <v>0</v>
      </c>
      <c r="GA186" s="3">
        <f t="shared" si="39"/>
        <v>0</v>
      </c>
      <c r="GB186" s="3">
        <f t="shared" si="39"/>
        <v>0</v>
      </c>
      <c r="GC186" s="3">
        <f t="shared" si="39"/>
        <v>0</v>
      </c>
      <c r="GD186" s="3">
        <f>GD$338</f>
        <v>0</v>
      </c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8"/>
      <c r="LZ186" s="2">
        <v>0.73173076923076896</v>
      </c>
      <c r="MA186" s="1">
        <f t="shared" si="35"/>
        <v>1</v>
      </c>
      <c r="MB186" s="1">
        <v>0.26826923000000003</v>
      </c>
      <c r="MC186" s="2">
        <v>0</v>
      </c>
      <c r="MD186" s="1">
        <f t="shared" si="36"/>
        <v>0.73173076999999997</v>
      </c>
      <c r="ME186" s="1">
        <f t="shared" si="37"/>
        <v>0.26826923000000003</v>
      </c>
    </row>
    <row r="187" spans="1:343" x14ac:dyDescent="0.2">
      <c r="A187" s="2">
        <v>20.5</v>
      </c>
      <c r="B187" s="7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>
        <f t="shared" ref="FP187:GK208" si="40">FP$338</f>
        <v>0</v>
      </c>
      <c r="FQ187" s="3">
        <f t="shared" si="40"/>
        <v>0</v>
      </c>
      <c r="FR187" s="3">
        <f t="shared" si="40"/>
        <v>0</v>
      </c>
      <c r="FS187" s="3">
        <f t="shared" si="40"/>
        <v>0</v>
      </c>
      <c r="FT187" s="3">
        <f t="shared" si="40"/>
        <v>0</v>
      </c>
      <c r="FU187" s="3">
        <f t="shared" si="40"/>
        <v>0</v>
      </c>
      <c r="FV187" s="3">
        <f t="shared" si="40"/>
        <v>1</v>
      </c>
      <c r="FW187" s="3">
        <f t="shared" si="40"/>
        <v>0</v>
      </c>
      <c r="FX187" s="3">
        <f t="shared" si="40"/>
        <v>0</v>
      </c>
      <c r="FY187" s="3">
        <f t="shared" si="40"/>
        <v>0</v>
      </c>
      <c r="FZ187" s="3">
        <f t="shared" si="40"/>
        <v>0</v>
      </c>
      <c r="GA187" s="3">
        <f t="shared" si="40"/>
        <v>0</v>
      </c>
      <c r="GB187" s="3">
        <f t="shared" si="40"/>
        <v>0</v>
      </c>
      <c r="GC187" s="3">
        <f t="shared" si="40"/>
        <v>0</v>
      </c>
      <c r="GD187" s="3">
        <f t="shared" si="40"/>
        <v>0</v>
      </c>
      <c r="GE187" s="3">
        <f>GE$338</f>
        <v>0</v>
      </c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8"/>
      <c r="LZ187" s="2">
        <v>0.73173076923076896</v>
      </c>
      <c r="MA187" s="1">
        <f t="shared" si="35"/>
        <v>1</v>
      </c>
      <c r="MB187" s="1">
        <v>0.26826923000000003</v>
      </c>
      <c r="MC187" s="2">
        <v>0</v>
      </c>
      <c r="MD187" s="1">
        <f t="shared" si="36"/>
        <v>0.73173076999999997</v>
      </c>
      <c r="ME187" s="1">
        <f t="shared" si="37"/>
        <v>0.26826923000000003</v>
      </c>
    </row>
    <row r="188" spans="1:343" x14ac:dyDescent="0.2">
      <c r="A188" s="2">
        <v>21</v>
      </c>
      <c r="B188" s="7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>
        <f t="shared" si="40"/>
        <v>0</v>
      </c>
      <c r="FR188" s="3">
        <f t="shared" si="40"/>
        <v>0</v>
      </c>
      <c r="FS188" s="3">
        <f t="shared" si="40"/>
        <v>0</v>
      </c>
      <c r="FT188" s="3">
        <f t="shared" si="40"/>
        <v>0</v>
      </c>
      <c r="FU188" s="3">
        <f t="shared" si="40"/>
        <v>0</v>
      </c>
      <c r="FV188" s="3">
        <f t="shared" si="40"/>
        <v>1</v>
      </c>
      <c r="FW188" s="3">
        <f t="shared" si="40"/>
        <v>0</v>
      </c>
      <c r="FX188" s="3">
        <f t="shared" si="40"/>
        <v>0</v>
      </c>
      <c r="FY188" s="3">
        <f t="shared" si="40"/>
        <v>0</v>
      </c>
      <c r="FZ188" s="3">
        <f t="shared" si="40"/>
        <v>0</v>
      </c>
      <c r="GA188" s="3">
        <f t="shared" si="40"/>
        <v>0</v>
      </c>
      <c r="GB188" s="3">
        <f t="shared" si="40"/>
        <v>0</v>
      </c>
      <c r="GC188" s="3">
        <f t="shared" si="40"/>
        <v>0</v>
      </c>
      <c r="GD188" s="3">
        <f t="shared" si="40"/>
        <v>0</v>
      </c>
      <c r="GE188" s="3">
        <f t="shared" si="40"/>
        <v>0</v>
      </c>
      <c r="GF188" s="3">
        <f>GF$338</f>
        <v>0</v>
      </c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8"/>
      <c r="LZ188" s="2">
        <v>0.70541310541310498</v>
      </c>
      <c r="MA188" s="1">
        <f t="shared" si="35"/>
        <v>1</v>
      </c>
      <c r="MB188" s="1">
        <v>0.29458688999999999</v>
      </c>
      <c r="MC188" s="2">
        <v>0</v>
      </c>
      <c r="MD188" s="1">
        <f t="shared" si="36"/>
        <v>0.70541311000000007</v>
      </c>
      <c r="ME188" s="1">
        <f t="shared" si="37"/>
        <v>0.29458688999999999</v>
      </c>
    </row>
    <row r="189" spans="1:343" x14ac:dyDescent="0.2">
      <c r="A189" s="2">
        <v>21.5</v>
      </c>
      <c r="B189" s="7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>
        <f t="shared" si="40"/>
        <v>0</v>
      </c>
      <c r="FS189" s="3">
        <f t="shared" si="40"/>
        <v>0</v>
      </c>
      <c r="FT189" s="3">
        <f t="shared" si="40"/>
        <v>0</v>
      </c>
      <c r="FU189" s="3">
        <f t="shared" si="40"/>
        <v>0</v>
      </c>
      <c r="FV189" s="3">
        <f t="shared" si="40"/>
        <v>1</v>
      </c>
      <c r="FW189" s="3">
        <f t="shared" si="40"/>
        <v>0</v>
      </c>
      <c r="FX189" s="3">
        <f t="shared" si="40"/>
        <v>0</v>
      </c>
      <c r="FY189" s="3">
        <f t="shared" si="40"/>
        <v>0</v>
      </c>
      <c r="FZ189" s="3">
        <f t="shared" si="40"/>
        <v>0</v>
      </c>
      <c r="GA189" s="3">
        <f t="shared" si="40"/>
        <v>0</v>
      </c>
      <c r="GB189" s="3">
        <f t="shared" si="40"/>
        <v>0</v>
      </c>
      <c r="GC189" s="3">
        <f t="shared" si="40"/>
        <v>0</v>
      </c>
      <c r="GD189" s="3">
        <f t="shared" si="40"/>
        <v>0</v>
      </c>
      <c r="GE189" s="3">
        <f t="shared" si="40"/>
        <v>0</v>
      </c>
      <c r="GF189" s="3">
        <f t="shared" si="40"/>
        <v>0</v>
      </c>
      <c r="GG189" s="3">
        <f>GG$338</f>
        <v>0</v>
      </c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8"/>
      <c r="LZ189" s="2">
        <v>0.70541310541310498</v>
      </c>
      <c r="MA189" s="1">
        <f t="shared" si="35"/>
        <v>1</v>
      </c>
      <c r="MB189" s="1">
        <v>0.29458688999999999</v>
      </c>
      <c r="MC189" s="2">
        <v>0</v>
      </c>
      <c r="MD189" s="1">
        <f t="shared" si="36"/>
        <v>0.70541311000000007</v>
      </c>
      <c r="ME189" s="1">
        <f t="shared" si="37"/>
        <v>0.29458688999999999</v>
      </c>
    </row>
    <row r="190" spans="1:343" x14ac:dyDescent="0.2">
      <c r="A190" s="2">
        <v>22</v>
      </c>
      <c r="B190" s="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>
        <f t="shared" si="40"/>
        <v>0</v>
      </c>
      <c r="FT190" s="3">
        <f t="shared" si="40"/>
        <v>0</v>
      </c>
      <c r="FU190" s="3">
        <f t="shared" si="40"/>
        <v>0</v>
      </c>
      <c r="FV190" s="3">
        <f t="shared" si="40"/>
        <v>1</v>
      </c>
      <c r="FW190" s="3">
        <f t="shared" si="40"/>
        <v>0</v>
      </c>
      <c r="FX190" s="3">
        <f t="shared" si="40"/>
        <v>0</v>
      </c>
      <c r="FY190" s="3">
        <f t="shared" si="40"/>
        <v>0</v>
      </c>
      <c r="FZ190" s="3">
        <f t="shared" si="40"/>
        <v>0</v>
      </c>
      <c r="GA190" s="3">
        <f t="shared" si="40"/>
        <v>0</v>
      </c>
      <c r="GB190" s="3">
        <f t="shared" si="40"/>
        <v>0</v>
      </c>
      <c r="GC190" s="3">
        <f t="shared" si="40"/>
        <v>0</v>
      </c>
      <c r="GD190" s="3">
        <f t="shared" si="40"/>
        <v>0</v>
      </c>
      <c r="GE190" s="3">
        <f t="shared" si="40"/>
        <v>0</v>
      </c>
      <c r="GF190" s="3">
        <f t="shared" si="40"/>
        <v>0</v>
      </c>
      <c r="GG190" s="3">
        <f t="shared" si="40"/>
        <v>0</v>
      </c>
      <c r="GH190" s="3">
        <f>GH$338</f>
        <v>0</v>
      </c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8"/>
      <c r="LZ190" s="2">
        <v>0.64376780626780605</v>
      </c>
      <c r="MA190" s="1">
        <f t="shared" si="35"/>
        <v>1</v>
      </c>
      <c r="MB190" s="1">
        <v>0.35623219</v>
      </c>
      <c r="MC190" s="2">
        <v>0</v>
      </c>
      <c r="MD190" s="1">
        <f t="shared" si="36"/>
        <v>0.64376780999999994</v>
      </c>
      <c r="ME190" s="1">
        <f t="shared" si="37"/>
        <v>0.35623219</v>
      </c>
    </row>
    <row r="191" spans="1:343" x14ac:dyDescent="0.2">
      <c r="A191" s="2">
        <v>22.5</v>
      </c>
      <c r="B191" s="7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>
        <f t="shared" si="40"/>
        <v>0</v>
      </c>
      <c r="FU191" s="3">
        <f t="shared" si="40"/>
        <v>0</v>
      </c>
      <c r="FV191" s="3">
        <f t="shared" si="40"/>
        <v>1</v>
      </c>
      <c r="FW191" s="3">
        <f t="shared" si="40"/>
        <v>0</v>
      </c>
      <c r="FX191" s="3">
        <f t="shared" si="40"/>
        <v>0</v>
      </c>
      <c r="FY191" s="3">
        <f t="shared" si="40"/>
        <v>0</v>
      </c>
      <c r="FZ191" s="3">
        <f t="shared" si="40"/>
        <v>0</v>
      </c>
      <c r="GA191" s="3">
        <f t="shared" si="40"/>
        <v>0</v>
      </c>
      <c r="GB191" s="3">
        <f t="shared" si="40"/>
        <v>0</v>
      </c>
      <c r="GC191" s="3">
        <f t="shared" si="40"/>
        <v>0</v>
      </c>
      <c r="GD191" s="3">
        <f t="shared" si="40"/>
        <v>0</v>
      </c>
      <c r="GE191" s="3">
        <f t="shared" si="40"/>
        <v>0</v>
      </c>
      <c r="GF191" s="3">
        <f t="shared" si="40"/>
        <v>0</v>
      </c>
      <c r="GG191" s="3">
        <f t="shared" si="40"/>
        <v>0</v>
      </c>
      <c r="GH191" s="3">
        <f t="shared" si="40"/>
        <v>0</v>
      </c>
      <c r="GI191" s="3">
        <f>GI$338</f>
        <v>0</v>
      </c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8"/>
      <c r="LZ191" s="2">
        <v>0.64376780626780605</v>
      </c>
      <c r="MA191" s="1">
        <f t="shared" si="35"/>
        <v>1</v>
      </c>
      <c r="MB191" s="1">
        <v>0.35623219</v>
      </c>
      <c r="MC191" s="2">
        <v>0</v>
      </c>
      <c r="MD191" s="1">
        <f t="shared" si="36"/>
        <v>0.64376780999999994</v>
      </c>
      <c r="ME191" s="1">
        <f t="shared" si="37"/>
        <v>0.35623219</v>
      </c>
    </row>
    <row r="192" spans="1:343" x14ac:dyDescent="0.2">
      <c r="A192" s="2">
        <v>23</v>
      </c>
      <c r="B192" s="7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>
        <f t="shared" si="40"/>
        <v>0</v>
      </c>
      <c r="FV192" s="3">
        <f t="shared" si="40"/>
        <v>1</v>
      </c>
      <c r="FW192" s="3">
        <f t="shared" si="40"/>
        <v>0</v>
      </c>
      <c r="FX192" s="3">
        <f t="shared" si="40"/>
        <v>0</v>
      </c>
      <c r="FY192" s="3">
        <f t="shared" si="40"/>
        <v>0</v>
      </c>
      <c r="FZ192" s="3">
        <f t="shared" si="40"/>
        <v>0</v>
      </c>
      <c r="GA192" s="3">
        <f t="shared" si="40"/>
        <v>0</v>
      </c>
      <c r="GB192" s="3">
        <f t="shared" si="40"/>
        <v>0</v>
      </c>
      <c r="GC192" s="3">
        <f t="shared" si="40"/>
        <v>0</v>
      </c>
      <c r="GD192" s="3">
        <f t="shared" si="40"/>
        <v>0</v>
      </c>
      <c r="GE192" s="3">
        <f t="shared" si="40"/>
        <v>0</v>
      </c>
      <c r="GF192" s="3">
        <f t="shared" si="40"/>
        <v>0</v>
      </c>
      <c r="GG192" s="3">
        <f t="shared" si="40"/>
        <v>0</v>
      </c>
      <c r="GH192" s="3">
        <f t="shared" si="40"/>
        <v>0</v>
      </c>
      <c r="GI192" s="3">
        <f t="shared" si="40"/>
        <v>0</v>
      </c>
      <c r="GJ192" s="3">
        <f>GJ$338</f>
        <v>0</v>
      </c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8"/>
      <c r="LZ192" s="2">
        <v>0.51223290598290605</v>
      </c>
      <c r="MA192" s="1">
        <f t="shared" si="35"/>
        <v>1</v>
      </c>
      <c r="MB192" s="1">
        <v>0.48776709000000001</v>
      </c>
      <c r="MC192" s="2">
        <v>0</v>
      </c>
      <c r="MD192" s="1">
        <f t="shared" si="36"/>
        <v>0.51223291000000004</v>
      </c>
      <c r="ME192" s="1">
        <f t="shared" si="37"/>
        <v>0.48776709000000001</v>
      </c>
    </row>
    <row r="193" spans="1:343" x14ac:dyDescent="0.2">
      <c r="A193" s="2">
        <v>23.5</v>
      </c>
      <c r="B193" s="7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>
        <f t="shared" si="40"/>
        <v>1</v>
      </c>
      <c r="FW193" s="3">
        <f t="shared" si="40"/>
        <v>0</v>
      </c>
      <c r="FX193" s="3">
        <f t="shared" si="40"/>
        <v>0</v>
      </c>
      <c r="FY193" s="3">
        <f t="shared" si="40"/>
        <v>0</v>
      </c>
      <c r="FZ193" s="3">
        <f t="shared" si="40"/>
        <v>0</v>
      </c>
      <c r="GA193" s="3">
        <f t="shared" si="40"/>
        <v>0</v>
      </c>
      <c r="GB193" s="3">
        <f t="shared" si="40"/>
        <v>0</v>
      </c>
      <c r="GC193" s="3">
        <f t="shared" si="40"/>
        <v>0</v>
      </c>
      <c r="GD193" s="3">
        <f t="shared" si="40"/>
        <v>0</v>
      </c>
      <c r="GE193" s="3">
        <f t="shared" si="40"/>
        <v>0</v>
      </c>
      <c r="GF193" s="3">
        <f t="shared" si="40"/>
        <v>0</v>
      </c>
      <c r="GG193" s="3">
        <f t="shared" si="40"/>
        <v>0</v>
      </c>
      <c r="GH193" s="3">
        <f t="shared" si="40"/>
        <v>0</v>
      </c>
      <c r="GI193" s="3">
        <f t="shared" si="40"/>
        <v>0</v>
      </c>
      <c r="GJ193" s="3">
        <f t="shared" si="40"/>
        <v>0</v>
      </c>
      <c r="GK193" s="3">
        <f>GK$338</f>
        <v>0</v>
      </c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8"/>
      <c r="LZ193" s="2">
        <v>0.51223290598290605</v>
      </c>
      <c r="MA193" s="1">
        <f t="shared" si="35"/>
        <v>1</v>
      </c>
      <c r="MB193" s="1">
        <v>0.48776709000000001</v>
      </c>
      <c r="MC193" s="2">
        <v>0</v>
      </c>
      <c r="MD193" s="1">
        <f t="shared" si="36"/>
        <v>0.51223291000000004</v>
      </c>
      <c r="ME193" s="1">
        <f t="shared" si="37"/>
        <v>0.48776709000000001</v>
      </c>
    </row>
    <row r="194" spans="1:343" x14ac:dyDescent="0.2">
      <c r="A194" s="2">
        <v>0</v>
      </c>
      <c r="B194" s="7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>
        <f t="shared" si="40"/>
        <v>0</v>
      </c>
      <c r="FX194" s="3">
        <f t="shared" si="40"/>
        <v>0</v>
      </c>
      <c r="FY194" s="3">
        <f t="shared" si="40"/>
        <v>0</v>
      </c>
      <c r="FZ194" s="3">
        <f t="shared" si="40"/>
        <v>0</v>
      </c>
      <c r="GA194" s="3">
        <f t="shared" si="40"/>
        <v>0</v>
      </c>
      <c r="GB194" s="3">
        <f t="shared" si="40"/>
        <v>0</v>
      </c>
      <c r="GC194" s="3">
        <f t="shared" si="40"/>
        <v>0</v>
      </c>
      <c r="GD194" s="3">
        <f t="shared" si="40"/>
        <v>0</v>
      </c>
      <c r="GE194" s="3">
        <f t="shared" si="40"/>
        <v>0</v>
      </c>
      <c r="GF194" s="3">
        <f t="shared" si="40"/>
        <v>0</v>
      </c>
      <c r="GG194" s="3">
        <f t="shared" si="40"/>
        <v>0</v>
      </c>
      <c r="GH194" s="3">
        <f t="shared" si="40"/>
        <v>0</v>
      </c>
      <c r="GI194" s="3">
        <f t="shared" si="40"/>
        <v>0</v>
      </c>
      <c r="GJ194" s="3">
        <f t="shared" si="40"/>
        <v>0</v>
      </c>
      <c r="GK194" s="3">
        <f t="shared" si="40"/>
        <v>0</v>
      </c>
      <c r="GL194" s="3">
        <f>GL$338</f>
        <v>0</v>
      </c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8"/>
      <c r="LZ194" s="2">
        <v>0.39643874643874599</v>
      </c>
      <c r="MA194" s="1">
        <f t="shared" si="35"/>
        <v>0</v>
      </c>
      <c r="MB194" s="1">
        <v>0</v>
      </c>
      <c r="MC194" s="2">
        <v>0.39643875000000001</v>
      </c>
      <c r="MD194" s="1">
        <f t="shared" si="36"/>
        <v>0.39643875000000001</v>
      </c>
      <c r="ME194" s="1">
        <f t="shared" si="37"/>
        <v>0.39643875000000001</v>
      </c>
    </row>
    <row r="195" spans="1:343" x14ac:dyDescent="0.2">
      <c r="A195" s="2">
        <v>0.5</v>
      </c>
      <c r="B195" s="7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>
        <f t="shared" si="40"/>
        <v>0</v>
      </c>
      <c r="FY195" s="3">
        <f t="shared" si="40"/>
        <v>0</v>
      </c>
      <c r="FZ195" s="3">
        <f t="shared" si="40"/>
        <v>0</v>
      </c>
      <c r="GA195" s="3">
        <f t="shared" si="40"/>
        <v>0</v>
      </c>
      <c r="GB195" s="3">
        <f t="shared" si="40"/>
        <v>0</v>
      </c>
      <c r="GC195" s="3">
        <f t="shared" si="40"/>
        <v>0</v>
      </c>
      <c r="GD195" s="3">
        <f t="shared" si="40"/>
        <v>0</v>
      </c>
      <c r="GE195" s="3">
        <f t="shared" si="40"/>
        <v>0</v>
      </c>
      <c r="GF195" s="3">
        <f t="shared" si="40"/>
        <v>0</v>
      </c>
      <c r="GG195" s="3">
        <f t="shared" si="40"/>
        <v>0</v>
      </c>
      <c r="GH195" s="3">
        <f t="shared" si="40"/>
        <v>0</v>
      </c>
      <c r="GI195" s="3">
        <f t="shared" si="40"/>
        <v>0</v>
      </c>
      <c r="GJ195" s="3">
        <f t="shared" si="40"/>
        <v>0</v>
      </c>
      <c r="GK195" s="3">
        <f t="shared" si="40"/>
        <v>0</v>
      </c>
      <c r="GL195" s="3">
        <f t="shared" ref="GL195:HI218" si="41">GL$338</f>
        <v>0</v>
      </c>
      <c r="GM195" s="3">
        <f>GM$338</f>
        <v>0</v>
      </c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8"/>
      <c r="LZ195" s="2">
        <v>0.39643874643874599</v>
      </c>
      <c r="MA195" s="1">
        <f t="shared" ref="MA195:MA258" si="42">SUM(B195:LY195)</f>
        <v>0</v>
      </c>
      <c r="MB195" s="1">
        <v>0</v>
      </c>
      <c r="MC195" s="2">
        <v>0.39643875000000001</v>
      </c>
      <c r="MD195" s="1">
        <f t="shared" ref="MD195:MD258" si="43">MC195-MB195+MA195</f>
        <v>0.39643875000000001</v>
      </c>
      <c r="ME195" s="1">
        <f t="shared" ref="ME195:ME258" si="44">MC195+MB195</f>
        <v>0.39643875000000001</v>
      </c>
    </row>
    <row r="196" spans="1:343" x14ac:dyDescent="0.2">
      <c r="A196" s="2">
        <v>1</v>
      </c>
      <c r="B196" s="7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>
        <f t="shared" si="40"/>
        <v>0</v>
      </c>
      <c r="FZ196" s="3">
        <f t="shared" si="40"/>
        <v>0</v>
      </c>
      <c r="GA196" s="3">
        <f t="shared" si="40"/>
        <v>0</v>
      </c>
      <c r="GB196" s="3">
        <f t="shared" si="40"/>
        <v>0</v>
      </c>
      <c r="GC196" s="3">
        <f t="shared" si="40"/>
        <v>0</v>
      </c>
      <c r="GD196" s="3">
        <f t="shared" si="40"/>
        <v>0</v>
      </c>
      <c r="GE196" s="3">
        <f t="shared" si="40"/>
        <v>0</v>
      </c>
      <c r="GF196" s="3">
        <f t="shared" si="40"/>
        <v>0</v>
      </c>
      <c r="GG196" s="3">
        <f t="shared" si="40"/>
        <v>0</v>
      </c>
      <c r="GH196" s="3">
        <f t="shared" si="40"/>
        <v>0</v>
      </c>
      <c r="GI196" s="3">
        <f t="shared" si="40"/>
        <v>0</v>
      </c>
      <c r="GJ196" s="3">
        <f t="shared" si="40"/>
        <v>0</v>
      </c>
      <c r="GK196" s="3">
        <f t="shared" si="40"/>
        <v>0</v>
      </c>
      <c r="GL196" s="3">
        <f t="shared" si="41"/>
        <v>0</v>
      </c>
      <c r="GM196" s="3">
        <f t="shared" si="41"/>
        <v>0</v>
      </c>
      <c r="GN196" s="3">
        <f>GN$338</f>
        <v>0</v>
      </c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8"/>
      <c r="LZ196" s="2">
        <v>0.29239672364672398</v>
      </c>
      <c r="MA196" s="1">
        <f t="shared" si="42"/>
        <v>0</v>
      </c>
      <c r="MB196" s="1">
        <v>0</v>
      </c>
      <c r="MC196" s="2">
        <v>0.29239672</v>
      </c>
      <c r="MD196" s="1">
        <f t="shared" si="43"/>
        <v>0.29239672</v>
      </c>
      <c r="ME196" s="1">
        <f t="shared" si="44"/>
        <v>0.29239672</v>
      </c>
    </row>
    <row r="197" spans="1:343" x14ac:dyDescent="0.2">
      <c r="A197" s="2">
        <v>1.5</v>
      </c>
      <c r="B197" s="7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>
        <f t="shared" si="40"/>
        <v>0</v>
      </c>
      <c r="GA197" s="3">
        <f t="shared" si="40"/>
        <v>0</v>
      </c>
      <c r="GB197" s="3">
        <f t="shared" si="40"/>
        <v>0</v>
      </c>
      <c r="GC197" s="3">
        <f t="shared" si="40"/>
        <v>0</v>
      </c>
      <c r="GD197" s="3">
        <f t="shared" si="40"/>
        <v>0</v>
      </c>
      <c r="GE197" s="3">
        <f t="shared" si="40"/>
        <v>0</v>
      </c>
      <c r="GF197" s="3">
        <f t="shared" si="40"/>
        <v>0</v>
      </c>
      <c r="GG197" s="3">
        <f t="shared" si="40"/>
        <v>0</v>
      </c>
      <c r="GH197" s="3">
        <f t="shared" si="40"/>
        <v>0</v>
      </c>
      <c r="GI197" s="3">
        <f t="shared" si="40"/>
        <v>0</v>
      </c>
      <c r="GJ197" s="3">
        <f t="shared" si="40"/>
        <v>0</v>
      </c>
      <c r="GK197" s="3">
        <f t="shared" si="40"/>
        <v>0</v>
      </c>
      <c r="GL197" s="3">
        <f t="shared" si="41"/>
        <v>0</v>
      </c>
      <c r="GM197" s="3">
        <f t="shared" si="41"/>
        <v>0</v>
      </c>
      <c r="GN197" s="3">
        <f t="shared" si="41"/>
        <v>0</v>
      </c>
      <c r="GO197" s="3">
        <f>GO$338</f>
        <v>0</v>
      </c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8"/>
      <c r="LZ197" s="2">
        <v>0.29239672364672398</v>
      </c>
      <c r="MA197" s="1">
        <f t="shared" si="42"/>
        <v>0</v>
      </c>
      <c r="MB197" s="1">
        <v>0</v>
      </c>
      <c r="MC197" s="2">
        <v>0.29239672</v>
      </c>
      <c r="MD197" s="1">
        <f t="shared" si="43"/>
        <v>0.29239672</v>
      </c>
      <c r="ME197" s="1">
        <f t="shared" si="44"/>
        <v>0.29239672</v>
      </c>
    </row>
    <row r="198" spans="1:343" x14ac:dyDescent="0.2">
      <c r="A198" s="2">
        <v>2</v>
      </c>
      <c r="B198" s="7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>
        <f t="shared" si="40"/>
        <v>0</v>
      </c>
      <c r="GB198" s="3">
        <f t="shared" si="40"/>
        <v>0</v>
      </c>
      <c r="GC198" s="3">
        <f t="shared" si="40"/>
        <v>0</v>
      </c>
      <c r="GD198" s="3">
        <f t="shared" si="40"/>
        <v>0</v>
      </c>
      <c r="GE198" s="3">
        <f t="shared" si="40"/>
        <v>0</v>
      </c>
      <c r="GF198" s="3">
        <f t="shared" si="40"/>
        <v>0</v>
      </c>
      <c r="GG198" s="3">
        <f t="shared" si="40"/>
        <v>0</v>
      </c>
      <c r="GH198" s="3">
        <f t="shared" si="40"/>
        <v>0</v>
      </c>
      <c r="GI198" s="3">
        <f t="shared" si="40"/>
        <v>0</v>
      </c>
      <c r="GJ198" s="3">
        <f t="shared" si="40"/>
        <v>0</v>
      </c>
      <c r="GK198" s="3">
        <f t="shared" si="40"/>
        <v>0</v>
      </c>
      <c r="GL198" s="3">
        <f t="shared" si="41"/>
        <v>0</v>
      </c>
      <c r="GM198" s="3">
        <f t="shared" si="41"/>
        <v>0</v>
      </c>
      <c r="GN198" s="3">
        <f t="shared" si="41"/>
        <v>0</v>
      </c>
      <c r="GO198" s="3">
        <f t="shared" si="41"/>
        <v>0</v>
      </c>
      <c r="GP198" s="3">
        <f>GP$338</f>
        <v>0</v>
      </c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8"/>
      <c r="LZ198" s="2">
        <v>0.19925213675213699</v>
      </c>
      <c r="MA198" s="1">
        <f t="shared" si="42"/>
        <v>0</v>
      </c>
      <c r="MB198" s="1">
        <v>0</v>
      </c>
      <c r="MC198" s="2">
        <v>0.19925213999999999</v>
      </c>
      <c r="MD198" s="1">
        <f t="shared" si="43"/>
        <v>0.19925213999999999</v>
      </c>
      <c r="ME198" s="1">
        <f t="shared" si="44"/>
        <v>0.19925213999999999</v>
      </c>
    </row>
    <row r="199" spans="1:343" x14ac:dyDescent="0.2">
      <c r="A199" s="2">
        <v>2.5</v>
      </c>
      <c r="B199" s="7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>
        <f t="shared" si="40"/>
        <v>0</v>
      </c>
      <c r="GC199" s="3">
        <f t="shared" si="40"/>
        <v>0</v>
      </c>
      <c r="GD199" s="3">
        <f t="shared" si="40"/>
        <v>0</v>
      </c>
      <c r="GE199" s="3">
        <f t="shared" si="40"/>
        <v>0</v>
      </c>
      <c r="GF199" s="3">
        <f t="shared" si="40"/>
        <v>0</v>
      </c>
      <c r="GG199" s="3">
        <f t="shared" si="40"/>
        <v>0</v>
      </c>
      <c r="GH199" s="3">
        <f t="shared" si="40"/>
        <v>0</v>
      </c>
      <c r="GI199" s="3">
        <f t="shared" si="40"/>
        <v>0</v>
      </c>
      <c r="GJ199" s="3">
        <f t="shared" si="40"/>
        <v>0</v>
      </c>
      <c r="GK199" s="3">
        <f t="shared" si="40"/>
        <v>0</v>
      </c>
      <c r="GL199" s="3">
        <f t="shared" si="41"/>
        <v>0</v>
      </c>
      <c r="GM199" s="3">
        <f t="shared" si="41"/>
        <v>0</v>
      </c>
      <c r="GN199" s="3">
        <f t="shared" si="41"/>
        <v>0</v>
      </c>
      <c r="GO199" s="3">
        <f t="shared" si="41"/>
        <v>0</v>
      </c>
      <c r="GP199" s="3">
        <f t="shared" si="41"/>
        <v>0</v>
      </c>
      <c r="GQ199" s="3">
        <f>GQ$338</f>
        <v>0</v>
      </c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8"/>
      <c r="LZ199" s="2">
        <v>0.19925213675213699</v>
      </c>
      <c r="MA199" s="1">
        <f t="shared" si="42"/>
        <v>0</v>
      </c>
      <c r="MB199" s="1">
        <v>0</v>
      </c>
      <c r="MC199" s="2">
        <v>0.19925213999999999</v>
      </c>
      <c r="MD199" s="1">
        <f t="shared" si="43"/>
        <v>0.19925213999999999</v>
      </c>
      <c r="ME199" s="1">
        <f t="shared" si="44"/>
        <v>0.19925213999999999</v>
      </c>
    </row>
    <row r="200" spans="1:343" x14ac:dyDescent="0.2">
      <c r="A200" s="2">
        <v>3</v>
      </c>
      <c r="B200" s="7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>
        <f t="shared" si="40"/>
        <v>0</v>
      </c>
      <c r="GD200" s="3">
        <f t="shared" si="40"/>
        <v>0</v>
      </c>
      <c r="GE200" s="3">
        <f t="shared" si="40"/>
        <v>0</v>
      </c>
      <c r="GF200" s="3">
        <f t="shared" si="40"/>
        <v>0</v>
      </c>
      <c r="GG200" s="3">
        <f t="shared" si="40"/>
        <v>0</v>
      </c>
      <c r="GH200" s="3">
        <f t="shared" si="40"/>
        <v>0</v>
      </c>
      <c r="GI200" s="3">
        <f t="shared" si="40"/>
        <v>0</v>
      </c>
      <c r="GJ200" s="3">
        <f t="shared" si="40"/>
        <v>0</v>
      </c>
      <c r="GK200" s="3">
        <f t="shared" si="40"/>
        <v>0</v>
      </c>
      <c r="GL200" s="3">
        <f t="shared" si="41"/>
        <v>0</v>
      </c>
      <c r="GM200" s="3">
        <f t="shared" si="41"/>
        <v>0</v>
      </c>
      <c r="GN200" s="3">
        <f t="shared" si="41"/>
        <v>0</v>
      </c>
      <c r="GO200" s="3">
        <f t="shared" si="41"/>
        <v>0</v>
      </c>
      <c r="GP200" s="3">
        <f t="shared" si="41"/>
        <v>0</v>
      </c>
      <c r="GQ200" s="3">
        <f t="shared" si="41"/>
        <v>0</v>
      </c>
      <c r="GR200" s="3">
        <f>GR$338</f>
        <v>0</v>
      </c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8"/>
      <c r="LZ200" s="2">
        <v>0.14932336182336201</v>
      </c>
      <c r="MA200" s="1">
        <f t="shared" si="42"/>
        <v>0</v>
      </c>
      <c r="MB200" s="1">
        <v>0</v>
      </c>
      <c r="MC200" s="2">
        <v>0.14932335999999999</v>
      </c>
      <c r="MD200" s="1">
        <f t="shared" si="43"/>
        <v>0.14932335999999999</v>
      </c>
      <c r="ME200" s="1">
        <f t="shared" si="44"/>
        <v>0.14932335999999999</v>
      </c>
    </row>
    <row r="201" spans="1:343" x14ac:dyDescent="0.2">
      <c r="A201" s="2">
        <v>3.5</v>
      </c>
      <c r="B201" s="7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>
        <f t="shared" si="40"/>
        <v>0</v>
      </c>
      <c r="GE201" s="3">
        <f t="shared" si="40"/>
        <v>0</v>
      </c>
      <c r="GF201" s="3">
        <f t="shared" si="40"/>
        <v>0</v>
      </c>
      <c r="GG201" s="3">
        <f t="shared" si="40"/>
        <v>0</v>
      </c>
      <c r="GH201" s="3">
        <f t="shared" si="40"/>
        <v>0</v>
      </c>
      <c r="GI201" s="3">
        <f t="shared" si="40"/>
        <v>0</v>
      </c>
      <c r="GJ201" s="3">
        <f t="shared" si="40"/>
        <v>0</v>
      </c>
      <c r="GK201" s="3">
        <f t="shared" si="40"/>
        <v>0</v>
      </c>
      <c r="GL201" s="3">
        <f t="shared" si="41"/>
        <v>0</v>
      </c>
      <c r="GM201" s="3">
        <f t="shared" si="41"/>
        <v>0</v>
      </c>
      <c r="GN201" s="3">
        <f t="shared" si="41"/>
        <v>0</v>
      </c>
      <c r="GO201" s="3">
        <f t="shared" si="41"/>
        <v>0</v>
      </c>
      <c r="GP201" s="3">
        <f t="shared" si="41"/>
        <v>0</v>
      </c>
      <c r="GQ201" s="3">
        <f t="shared" si="41"/>
        <v>0</v>
      </c>
      <c r="GR201" s="3">
        <f t="shared" si="41"/>
        <v>0</v>
      </c>
      <c r="GS201" s="3">
        <f>GS$338</f>
        <v>0</v>
      </c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8"/>
      <c r="LZ201" s="2">
        <v>0.14932336182336201</v>
      </c>
      <c r="MA201" s="1">
        <f t="shared" si="42"/>
        <v>0</v>
      </c>
      <c r="MB201" s="1">
        <v>0</v>
      </c>
      <c r="MC201" s="2">
        <v>0.14932335999999999</v>
      </c>
      <c r="MD201" s="1">
        <f t="shared" si="43"/>
        <v>0.14932335999999999</v>
      </c>
      <c r="ME201" s="1">
        <f t="shared" si="44"/>
        <v>0.14932335999999999</v>
      </c>
    </row>
    <row r="202" spans="1:343" x14ac:dyDescent="0.2">
      <c r="A202" s="2">
        <v>4</v>
      </c>
      <c r="B202" s="7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>
        <f t="shared" si="40"/>
        <v>0</v>
      </c>
      <c r="GF202" s="3">
        <f t="shared" si="40"/>
        <v>0</v>
      </c>
      <c r="GG202" s="3">
        <f t="shared" si="40"/>
        <v>0</v>
      </c>
      <c r="GH202" s="3">
        <f t="shared" si="40"/>
        <v>0</v>
      </c>
      <c r="GI202" s="3">
        <f t="shared" si="40"/>
        <v>0</v>
      </c>
      <c r="GJ202" s="3">
        <f t="shared" si="40"/>
        <v>0</v>
      </c>
      <c r="GK202" s="3">
        <f t="shared" si="40"/>
        <v>0</v>
      </c>
      <c r="GL202" s="3">
        <f t="shared" si="41"/>
        <v>0</v>
      </c>
      <c r="GM202" s="3">
        <f t="shared" si="41"/>
        <v>0</v>
      </c>
      <c r="GN202" s="3">
        <f t="shared" si="41"/>
        <v>0</v>
      </c>
      <c r="GO202" s="3">
        <f t="shared" si="41"/>
        <v>0</v>
      </c>
      <c r="GP202" s="3">
        <f t="shared" si="41"/>
        <v>0</v>
      </c>
      <c r="GQ202" s="3">
        <f t="shared" si="41"/>
        <v>0</v>
      </c>
      <c r="GR202" s="3">
        <f t="shared" si="41"/>
        <v>0</v>
      </c>
      <c r="GS202" s="3">
        <f t="shared" si="41"/>
        <v>0</v>
      </c>
      <c r="GT202" s="3">
        <f>GT$338</f>
        <v>0</v>
      </c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8"/>
      <c r="LZ202" s="2">
        <v>0.13680555555555601</v>
      </c>
      <c r="MA202" s="1">
        <f t="shared" si="42"/>
        <v>0</v>
      </c>
      <c r="MB202" s="1">
        <v>0</v>
      </c>
      <c r="MC202" s="2">
        <v>0.13680555999999999</v>
      </c>
      <c r="MD202" s="1">
        <f t="shared" si="43"/>
        <v>0.13680555999999999</v>
      </c>
      <c r="ME202" s="1">
        <f t="shared" si="44"/>
        <v>0.13680555999999999</v>
      </c>
    </row>
    <row r="203" spans="1:343" x14ac:dyDescent="0.2">
      <c r="A203" s="2">
        <v>4.5</v>
      </c>
      <c r="B203" s="7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>
        <f t="shared" si="40"/>
        <v>0</v>
      </c>
      <c r="GG203" s="3">
        <f t="shared" si="40"/>
        <v>0</v>
      </c>
      <c r="GH203" s="3">
        <f t="shared" si="40"/>
        <v>0</v>
      </c>
      <c r="GI203" s="3">
        <f t="shared" si="40"/>
        <v>0</v>
      </c>
      <c r="GJ203" s="3">
        <f t="shared" si="40"/>
        <v>0</v>
      </c>
      <c r="GK203" s="3">
        <f t="shared" si="40"/>
        <v>0</v>
      </c>
      <c r="GL203" s="3">
        <f t="shared" si="41"/>
        <v>0</v>
      </c>
      <c r="GM203" s="3">
        <f t="shared" si="41"/>
        <v>0</v>
      </c>
      <c r="GN203" s="3">
        <f t="shared" si="41"/>
        <v>0</v>
      </c>
      <c r="GO203" s="3">
        <f t="shared" si="41"/>
        <v>0</v>
      </c>
      <c r="GP203" s="3">
        <f t="shared" si="41"/>
        <v>0</v>
      </c>
      <c r="GQ203" s="3">
        <f t="shared" si="41"/>
        <v>0</v>
      </c>
      <c r="GR203" s="3">
        <f t="shared" si="41"/>
        <v>0</v>
      </c>
      <c r="GS203" s="3">
        <f t="shared" si="41"/>
        <v>0</v>
      </c>
      <c r="GT203" s="3">
        <f t="shared" si="41"/>
        <v>0</v>
      </c>
      <c r="GU203" s="3">
        <f>GU$338</f>
        <v>0</v>
      </c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8"/>
      <c r="LZ203" s="2">
        <v>0.13680555555555601</v>
      </c>
      <c r="MA203" s="1">
        <f t="shared" si="42"/>
        <v>0</v>
      </c>
      <c r="MB203" s="1">
        <v>0</v>
      </c>
      <c r="MC203" s="2">
        <v>0.13680555999999999</v>
      </c>
      <c r="MD203" s="1">
        <f t="shared" si="43"/>
        <v>0.13680555999999999</v>
      </c>
      <c r="ME203" s="1">
        <f t="shared" si="44"/>
        <v>0.13680555999999999</v>
      </c>
    </row>
    <row r="204" spans="1:343" x14ac:dyDescent="0.2">
      <c r="A204" s="2">
        <v>5</v>
      </c>
      <c r="B204" s="7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>
        <f t="shared" si="40"/>
        <v>0</v>
      </c>
      <c r="GH204" s="3">
        <f t="shared" si="40"/>
        <v>0</v>
      </c>
      <c r="GI204" s="3">
        <f t="shared" si="40"/>
        <v>0</v>
      </c>
      <c r="GJ204" s="3">
        <f t="shared" si="40"/>
        <v>0</v>
      </c>
      <c r="GK204" s="3">
        <f t="shared" si="40"/>
        <v>0</v>
      </c>
      <c r="GL204" s="3">
        <f t="shared" si="41"/>
        <v>0</v>
      </c>
      <c r="GM204" s="3">
        <f t="shared" si="41"/>
        <v>0</v>
      </c>
      <c r="GN204" s="3">
        <f t="shared" si="41"/>
        <v>0</v>
      </c>
      <c r="GO204" s="3">
        <f t="shared" si="41"/>
        <v>0</v>
      </c>
      <c r="GP204" s="3">
        <f t="shared" si="41"/>
        <v>0</v>
      </c>
      <c r="GQ204" s="3">
        <f t="shared" si="41"/>
        <v>0</v>
      </c>
      <c r="GR204" s="3">
        <f t="shared" si="41"/>
        <v>0</v>
      </c>
      <c r="GS204" s="3">
        <f t="shared" si="41"/>
        <v>0</v>
      </c>
      <c r="GT204" s="3">
        <f t="shared" si="41"/>
        <v>0</v>
      </c>
      <c r="GU204" s="3">
        <f t="shared" si="41"/>
        <v>0</v>
      </c>
      <c r="GV204" s="3">
        <f>GV$338</f>
        <v>0</v>
      </c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8"/>
      <c r="LZ204" s="2">
        <v>0.109312678062678</v>
      </c>
      <c r="MA204" s="1">
        <f t="shared" si="42"/>
        <v>0</v>
      </c>
      <c r="MB204" s="1">
        <v>0</v>
      </c>
      <c r="MC204" s="2">
        <v>0.10931268</v>
      </c>
      <c r="MD204" s="1">
        <f t="shared" si="43"/>
        <v>0.10931268</v>
      </c>
      <c r="ME204" s="1">
        <f t="shared" si="44"/>
        <v>0.10931268</v>
      </c>
    </row>
    <row r="205" spans="1:343" x14ac:dyDescent="0.2">
      <c r="A205" s="2">
        <v>5.5</v>
      </c>
      <c r="B205" s="7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>
        <f t="shared" si="40"/>
        <v>0</v>
      </c>
      <c r="GI205" s="3">
        <f t="shared" si="40"/>
        <v>0</v>
      </c>
      <c r="GJ205" s="3">
        <f t="shared" si="40"/>
        <v>0</v>
      </c>
      <c r="GK205" s="3">
        <f t="shared" si="40"/>
        <v>0</v>
      </c>
      <c r="GL205" s="3">
        <f t="shared" si="41"/>
        <v>0</v>
      </c>
      <c r="GM205" s="3">
        <f t="shared" si="41"/>
        <v>0</v>
      </c>
      <c r="GN205" s="3">
        <f t="shared" si="41"/>
        <v>0</v>
      </c>
      <c r="GO205" s="3">
        <f t="shared" si="41"/>
        <v>0</v>
      </c>
      <c r="GP205" s="3">
        <f t="shared" si="41"/>
        <v>0</v>
      </c>
      <c r="GQ205" s="3">
        <f t="shared" si="41"/>
        <v>0</v>
      </c>
      <c r="GR205" s="3">
        <f t="shared" si="41"/>
        <v>0</v>
      </c>
      <c r="GS205" s="3">
        <f t="shared" si="41"/>
        <v>0</v>
      </c>
      <c r="GT205" s="3">
        <f t="shared" si="41"/>
        <v>0</v>
      </c>
      <c r="GU205" s="3">
        <f t="shared" si="41"/>
        <v>0</v>
      </c>
      <c r="GV205" s="3">
        <f t="shared" si="41"/>
        <v>0</v>
      </c>
      <c r="GW205" s="3">
        <f>GW$338</f>
        <v>0</v>
      </c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8"/>
      <c r="LZ205" s="2">
        <v>0.109312678062678</v>
      </c>
      <c r="MA205" s="1">
        <f t="shared" si="42"/>
        <v>0</v>
      </c>
      <c r="MB205" s="1">
        <v>0</v>
      </c>
      <c r="MC205" s="2">
        <v>0.10931268</v>
      </c>
      <c r="MD205" s="1">
        <f t="shared" si="43"/>
        <v>0.10931268</v>
      </c>
      <c r="ME205" s="1">
        <f t="shared" si="44"/>
        <v>0.10931268</v>
      </c>
    </row>
    <row r="206" spans="1:343" x14ac:dyDescent="0.2">
      <c r="A206" s="2">
        <v>6</v>
      </c>
      <c r="B206" s="7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>
        <f t="shared" si="40"/>
        <v>0</v>
      </c>
      <c r="GJ206" s="3">
        <f t="shared" si="40"/>
        <v>0</v>
      </c>
      <c r="GK206" s="3">
        <f t="shared" si="40"/>
        <v>0</v>
      </c>
      <c r="GL206" s="3">
        <f t="shared" si="41"/>
        <v>0</v>
      </c>
      <c r="GM206" s="3">
        <f t="shared" si="41"/>
        <v>0</v>
      </c>
      <c r="GN206" s="3">
        <f t="shared" si="41"/>
        <v>0</v>
      </c>
      <c r="GO206" s="3">
        <f t="shared" si="41"/>
        <v>0</v>
      </c>
      <c r="GP206" s="3">
        <f t="shared" si="41"/>
        <v>0</v>
      </c>
      <c r="GQ206" s="3">
        <f t="shared" si="41"/>
        <v>0</v>
      </c>
      <c r="GR206" s="3">
        <f t="shared" si="41"/>
        <v>0</v>
      </c>
      <c r="GS206" s="3">
        <f t="shared" si="41"/>
        <v>0</v>
      </c>
      <c r="GT206" s="3">
        <f t="shared" si="41"/>
        <v>0</v>
      </c>
      <c r="GU206" s="3">
        <f t="shared" si="41"/>
        <v>0</v>
      </c>
      <c r="GV206" s="3">
        <f t="shared" si="41"/>
        <v>0</v>
      </c>
      <c r="GW206" s="3">
        <f t="shared" si="41"/>
        <v>0</v>
      </c>
      <c r="GX206" s="3">
        <f>GX$338</f>
        <v>0</v>
      </c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8"/>
      <c r="LZ206" s="2">
        <v>9.5957977207977205E-2</v>
      </c>
      <c r="MA206" s="1">
        <f t="shared" si="42"/>
        <v>0</v>
      </c>
      <c r="MB206" s="1">
        <v>0</v>
      </c>
      <c r="MC206" s="2">
        <v>9.5957977E-2</v>
      </c>
      <c r="MD206" s="1">
        <f t="shared" si="43"/>
        <v>9.5957977E-2</v>
      </c>
      <c r="ME206" s="1">
        <f t="shared" si="44"/>
        <v>9.5957977E-2</v>
      </c>
    </row>
    <row r="207" spans="1:343" x14ac:dyDescent="0.2">
      <c r="A207" s="2">
        <v>6.5</v>
      </c>
      <c r="B207" s="7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>
        <f t="shared" si="40"/>
        <v>0</v>
      </c>
      <c r="GK207" s="3">
        <f t="shared" si="40"/>
        <v>0</v>
      </c>
      <c r="GL207" s="3">
        <f t="shared" si="41"/>
        <v>0</v>
      </c>
      <c r="GM207" s="3">
        <f t="shared" si="41"/>
        <v>0</v>
      </c>
      <c r="GN207" s="3">
        <f t="shared" si="41"/>
        <v>0</v>
      </c>
      <c r="GO207" s="3">
        <f t="shared" si="41"/>
        <v>0</v>
      </c>
      <c r="GP207" s="3">
        <f t="shared" si="41"/>
        <v>0</v>
      </c>
      <c r="GQ207" s="3">
        <f t="shared" si="41"/>
        <v>0</v>
      </c>
      <c r="GR207" s="3">
        <f t="shared" si="41"/>
        <v>0</v>
      </c>
      <c r="GS207" s="3">
        <f t="shared" si="41"/>
        <v>0</v>
      </c>
      <c r="GT207" s="3">
        <f t="shared" si="41"/>
        <v>0</v>
      </c>
      <c r="GU207" s="3">
        <f t="shared" si="41"/>
        <v>0</v>
      </c>
      <c r="GV207" s="3">
        <f t="shared" si="41"/>
        <v>0</v>
      </c>
      <c r="GW207" s="3">
        <f t="shared" si="41"/>
        <v>0</v>
      </c>
      <c r="GX207" s="3">
        <f t="shared" si="41"/>
        <v>0</v>
      </c>
      <c r="GY207" s="3">
        <f>GY$338</f>
        <v>0</v>
      </c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8"/>
      <c r="LZ207" s="2">
        <v>9.5957977207977205E-2</v>
      </c>
      <c r="MA207" s="1">
        <f t="shared" si="42"/>
        <v>0</v>
      </c>
      <c r="MB207" s="1">
        <v>0</v>
      </c>
      <c r="MC207" s="2">
        <v>9.5957977E-2</v>
      </c>
      <c r="MD207" s="1">
        <f t="shared" si="43"/>
        <v>9.5957977E-2</v>
      </c>
      <c r="ME207" s="1">
        <f t="shared" si="44"/>
        <v>9.5957977E-2</v>
      </c>
    </row>
    <row r="208" spans="1:343" x14ac:dyDescent="0.2">
      <c r="A208" s="2">
        <v>7</v>
      </c>
      <c r="B208" s="7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>
        <f t="shared" si="40"/>
        <v>0</v>
      </c>
      <c r="GL208" s="3">
        <f t="shared" si="41"/>
        <v>0</v>
      </c>
      <c r="GM208" s="3">
        <f t="shared" si="41"/>
        <v>0</v>
      </c>
      <c r="GN208" s="3">
        <f t="shared" si="41"/>
        <v>0</v>
      </c>
      <c r="GO208" s="3">
        <f t="shared" si="41"/>
        <v>0</v>
      </c>
      <c r="GP208" s="3">
        <f t="shared" si="41"/>
        <v>0</v>
      </c>
      <c r="GQ208" s="3">
        <f t="shared" si="41"/>
        <v>0</v>
      </c>
      <c r="GR208" s="3">
        <f t="shared" si="41"/>
        <v>0</v>
      </c>
      <c r="GS208" s="3">
        <f t="shared" si="41"/>
        <v>0</v>
      </c>
      <c r="GT208" s="3">
        <f t="shared" si="41"/>
        <v>0</v>
      </c>
      <c r="GU208" s="3">
        <f t="shared" si="41"/>
        <v>0</v>
      </c>
      <c r="GV208" s="3">
        <f t="shared" si="41"/>
        <v>0</v>
      </c>
      <c r="GW208" s="3">
        <f t="shared" si="41"/>
        <v>0</v>
      </c>
      <c r="GX208" s="3">
        <f t="shared" si="41"/>
        <v>0</v>
      </c>
      <c r="GY208" s="3">
        <f t="shared" si="41"/>
        <v>0</v>
      </c>
      <c r="GZ208" s="3">
        <f>GZ$338</f>
        <v>0</v>
      </c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8"/>
      <c r="LZ208" s="2">
        <v>0.110665954415954</v>
      </c>
      <c r="MA208" s="1">
        <f t="shared" si="42"/>
        <v>0</v>
      </c>
      <c r="MB208" s="1">
        <v>0</v>
      </c>
      <c r="MC208" s="2">
        <v>0.11066595</v>
      </c>
      <c r="MD208" s="1">
        <f t="shared" si="43"/>
        <v>0.11066595</v>
      </c>
      <c r="ME208" s="1">
        <f t="shared" si="44"/>
        <v>0.11066595</v>
      </c>
    </row>
    <row r="209" spans="1:343" x14ac:dyDescent="0.2">
      <c r="A209" s="2">
        <v>7.5</v>
      </c>
      <c r="B209" s="7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>
        <f t="shared" si="41"/>
        <v>0</v>
      </c>
      <c r="GM209" s="3">
        <f t="shared" si="41"/>
        <v>0</v>
      </c>
      <c r="GN209" s="3">
        <f t="shared" si="41"/>
        <v>0</v>
      </c>
      <c r="GO209" s="3">
        <f t="shared" si="41"/>
        <v>0</v>
      </c>
      <c r="GP209" s="3">
        <f t="shared" si="41"/>
        <v>0</v>
      </c>
      <c r="GQ209" s="3">
        <f t="shared" si="41"/>
        <v>0</v>
      </c>
      <c r="GR209" s="3">
        <f t="shared" si="41"/>
        <v>0</v>
      </c>
      <c r="GS209" s="3">
        <f t="shared" si="41"/>
        <v>0</v>
      </c>
      <c r="GT209" s="3">
        <f t="shared" si="41"/>
        <v>0</v>
      </c>
      <c r="GU209" s="3">
        <f t="shared" si="41"/>
        <v>0</v>
      </c>
      <c r="GV209" s="3">
        <f t="shared" si="41"/>
        <v>0</v>
      </c>
      <c r="GW209" s="3">
        <f t="shared" si="41"/>
        <v>0</v>
      </c>
      <c r="GX209" s="3">
        <f t="shared" si="41"/>
        <v>0</v>
      </c>
      <c r="GY209" s="3">
        <f t="shared" si="41"/>
        <v>0</v>
      </c>
      <c r="GZ209" s="3">
        <f t="shared" si="41"/>
        <v>0</v>
      </c>
      <c r="HA209" s="3">
        <f>HA$338</f>
        <v>0</v>
      </c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8"/>
      <c r="LZ209" s="2">
        <v>0.110665954415954</v>
      </c>
      <c r="MA209" s="1">
        <f t="shared" si="42"/>
        <v>0</v>
      </c>
      <c r="MB209" s="1">
        <v>0</v>
      </c>
      <c r="MC209" s="2">
        <v>0.11066595</v>
      </c>
      <c r="MD209" s="1">
        <f t="shared" si="43"/>
        <v>0.11066595</v>
      </c>
      <c r="ME209" s="1">
        <f t="shared" si="44"/>
        <v>0.11066595</v>
      </c>
    </row>
    <row r="210" spans="1:343" x14ac:dyDescent="0.2">
      <c r="A210" s="2">
        <v>8</v>
      </c>
      <c r="B210" s="7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>
        <f t="shared" si="41"/>
        <v>0</v>
      </c>
      <c r="GN210" s="3">
        <f t="shared" si="41"/>
        <v>0</v>
      </c>
      <c r="GO210" s="3">
        <f t="shared" si="41"/>
        <v>0</v>
      </c>
      <c r="GP210" s="3">
        <f t="shared" si="41"/>
        <v>0</v>
      </c>
      <c r="GQ210" s="3">
        <f t="shared" si="41"/>
        <v>0</v>
      </c>
      <c r="GR210" s="3">
        <f t="shared" si="41"/>
        <v>0</v>
      </c>
      <c r="GS210" s="3">
        <f t="shared" si="41"/>
        <v>0</v>
      </c>
      <c r="GT210" s="3">
        <f t="shared" si="41"/>
        <v>0</v>
      </c>
      <c r="GU210" s="3">
        <f t="shared" si="41"/>
        <v>0</v>
      </c>
      <c r="GV210" s="3">
        <f t="shared" si="41"/>
        <v>0</v>
      </c>
      <c r="GW210" s="3">
        <f t="shared" si="41"/>
        <v>0</v>
      </c>
      <c r="GX210" s="3">
        <f t="shared" si="41"/>
        <v>0</v>
      </c>
      <c r="GY210" s="3">
        <f t="shared" si="41"/>
        <v>0</v>
      </c>
      <c r="GZ210" s="3">
        <f t="shared" si="41"/>
        <v>0</v>
      </c>
      <c r="HA210" s="3">
        <f t="shared" si="41"/>
        <v>0</v>
      </c>
      <c r="HB210" s="3">
        <f>HB$338</f>
        <v>0</v>
      </c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8"/>
      <c r="LZ210" s="2">
        <v>0.14916310541310501</v>
      </c>
      <c r="MA210" s="1">
        <f t="shared" si="42"/>
        <v>0</v>
      </c>
      <c r="MB210" s="1">
        <v>0</v>
      </c>
      <c r="MC210" s="2">
        <v>0.14916310999999999</v>
      </c>
      <c r="MD210" s="1">
        <f t="shared" si="43"/>
        <v>0.14916310999999999</v>
      </c>
      <c r="ME210" s="1">
        <f t="shared" si="44"/>
        <v>0.14916310999999999</v>
      </c>
    </row>
    <row r="211" spans="1:343" x14ac:dyDescent="0.2">
      <c r="A211" s="2">
        <v>8.5</v>
      </c>
      <c r="B211" s="7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>
        <f t="shared" si="41"/>
        <v>0</v>
      </c>
      <c r="GO211" s="3">
        <f t="shared" si="41"/>
        <v>0</v>
      </c>
      <c r="GP211" s="3">
        <f t="shared" si="41"/>
        <v>0</v>
      </c>
      <c r="GQ211" s="3">
        <f t="shared" si="41"/>
        <v>0</v>
      </c>
      <c r="GR211" s="3">
        <f t="shared" si="41"/>
        <v>0</v>
      </c>
      <c r="GS211" s="3">
        <f t="shared" si="41"/>
        <v>0</v>
      </c>
      <c r="GT211" s="3">
        <f t="shared" si="41"/>
        <v>0</v>
      </c>
      <c r="GU211" s="3">
        <f t="shared" si="41"/>
        <v>0</v>
      </c>
      <c r="GV211" s="3">
        <f t="shared" si="41"/>
        <v>0</v>
      </c>
      <c r="GW211" s="3">
        <f t="shared" si="41"/>
        <v>0</v>
      </c>
      <c r="GX211" s="3">
        <f t="shared" si="41"/>
        <v>0</v>
      </c>
      <c r="GY211" s="3">
        <f t="shared" si="41"/>
        <v>0</v>
      </c>
      <c r="GZ211" s="3">
        <f t="shared" si="41"/>
        <v>0</v>
      </c>
      <c r="HA211" s="3">
        <f t="shared" si="41"/>
        <v>0</v>
      </c>
      <c r="HB211" s="3">
        <f t="shared" si="41"/>
        <v>0</v>
      </c>
      <c r="HC211" s="3">
        <f>HC$338</f>
        <v>0</v>
      </c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8"/>
      <c r="LZ211" s="2">
        <v>0.14916310541310501</v>
      </c>
      <c r="MA211" s="1">
        <f t="shared" si="42"/>
        <v>0</v>
      </c>
      <c r="MB211" s="1">
        <v>0</v>
      </c>
      <c r="MC211" s="2">
        <v>0.14916310999999999</v>
      </c>
      <c r="MD211" s="1">
        <f t="shared" si="43"/>
        <v>0.14916310999999999</v>
      </c>
      <c r="ME211" s="1">
        <f t="shared" si="44"/>
        <v>0.14916310999999999</v>
      </c>
    </row>
    <row r="212" spans="1:343" x14ac:dyDescent="0.2">
      <c r="A212" s="2">
        <v>9</v>
      </c>
      <c r="B212" s="7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>
        <f t="shared" si="41"/>
        <v>0</v>
      </c>
      <c r="GP212" s="3">
        <f t="shared" si="41"/>
        <v>0</v>
      </c>
      <c r="GQ212" s="3">
        <f t="shared" si="41"/>
        <v>0</v>
      </c>
      <c r="GR212" s="3">
        <f t="shared" si="41"/>
        <v>0</v>
      </c>
      <c r="GS212" s="3">
        <f t="shared" si="41"/>
        <v>0</v>
      </c>
      <c r="GT212" s="3">
        <f t="shared" si="41"/>
        <v>0</v>
      </c>
      <c r="GU212" s="3">
        <f t="shared" si="41"/>
        <v>0</v>
      </c>
      <c r="GV212" s="3">
        <f t="shared" si="41"/>
        <v>0</v>
      </c>
      <c r="GW212" s="3">
        <f t="shared" si="41"/>
        <v>0</v>
      </c>
      <c r="GX212" s="3">
        <f t="shared" si="41"/>
        <v>0</v>
      </c>
      <c r="GY212" s="3">
        <f t="shared" si="41"/>
        <v>0</v>
      </c>
      <c r="GZ212" s="3">
        <f t="shared" si="41"/>
        <v>0</v>
      </c>
      <c r="HA212" s="3">
        <f t="shared" si="41"/>
        <v>0</v>
      </c>
      <c r="HB212" s="3">
        <f t="shared" si="41"/>
        <v>0</v>
      </c>
      <c r="HC212" s="3">
        <f t="shared" si="41"/>
        <v>0</v>
      </c>
      <c r="HD212" s="3">
        <f>HD$338</f>
        <v>0</v>
      </c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8"/>
      <c r="LZ212" s="2">
        <v>0.19191595441595399</v>
      </c>
      <c r="MA212" s="1">
        <f t="shared" si="42"/>
        <v>0</v>
      </c>
      <c r="MB212" s="1">
        <v>0</v>
      </c>
      <c r="MC212" s="2">
        <v>0.19191595</v>
      </c>
      <c r="MD212" s="1">
        <f t="shared" si="43"/>
        <v>0.19191595</v>
      </c>
      <c r="ME212" s="1">
        <f t="shared" si="44"/>
        <v>0.19191595</v>
      </c>
    </row>
    <row r="213" spans="1:343" x14ac:dyDescent="0.2">
      <c r="A213" s="2">
        <v>9.5</v>
      </c>
      <c r="B213" s="7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>
        <f t="shared" si="41"/>
        <v>0</v>
      </c>
      <c r="GQ213" s="3">
        <f t="shared" si="41"/>
        <v>0</v>
      </c>
      <c r="GR213" s="3">
        <f t="shared" si="41"/>
        <v>0</v>
      </c>
      <c r="GS213" s="3">
        <f t="shared" si="41"/>
        <v>0</v>
      </c>
      <c r="GT213" s="3">
        <f t="shared" si="41"/>
        <v>0</v>
      </c>
      <c r="GU213" s="3">
        <f t="shared" si="41"/>
        <v>0</v>
      </c>
      <c r="GV213" s="3">
        <f t="shared" si="41"/>
        <v>0</v>
      </c>
      <c r="GW213" s="3">
        <f t="shared" si="41"/>
        <v>0</v>
      </c>
      <c r="GX213" s="3">
        <f t="shared" si="41"/>
        <v>0</v>
      </c>
      <c r="GY213" s="3">
        <f t="shared" si="41"/>
        <v>0</v>
      </c>
      <c r="GZ213" s="3">
        <f t="shared" si="41"/>
        <v>0</v>
      </c>
      <c r="HA213" s="3">
        <f t="shared" si="41"/>
        <v>0</v>
      </c>
      <c r="HB213" s="3">
        <f t="shared" si="41"/>
        <v>0</v>
      </c>
      <c r="HC213" s="3">
        <f t="shared" si="41"/>
        <v>0</v>
      </c>
      <c r="HD213" s="3">
        <f t="shared" si="41"/>
        <v>0</v>
      </c>
      <c r="HE213" s="3">
        <f>HE$338</f>
        <v>0</v>
      </c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8"/>
      <c r="LZ213" s="2">
        <v>0.19191595441595399</v>
      </c>
      <c r="MA213" s="1">
        <f t="shared" si="42"/>
        <v>0</v>
      </c>
      <c r="MB213" s="1">
        <v>0</v>
      </c>
      <c r="MC213" s="2">
        <v>0.19191595</v>
      </c>
      <c r="MD213" s="1">
        <f t="shared" si="43"/>
        <v>0.19191595</v>
      </c>
      <c r="ME213" s="1">
        <f t="shared" si="44"/>
        <v>0.19191595</v>
      </c>
    </row>
    <row r="214" spans="1:343" x14ac:dyDescent="0.2">
      <c r="A214" s="2">
        <v>10</v>
      </c>
      <c r="B214" s="7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>
        <f t="shared" si="41"/>
        <v>0</v>
      </c>
      <c r="GR214" s="3">
        <f t="shared" si="41"/>
        <v>0</v>
      </c>
      <c r="GS214" s="3">
        <f t="shared" si="41"/>
        <v>0</v>
      </c>
      <c r="GT214" s="3">
        <f t="shared" si="41"/>
        <v>0</v>
      </c>
      <c r="GU214" s="3">
        <f t="shared" si="41"/>
        <v>0</v>
      </c>
      <c r="GV214" s="3">
        <f t="shared" si="41"/>
        <v>0</v>
      </c>
      <c r="GW214" s="3">
        <f t="shared" si="41"/>
        <v>0</v>
      </c>
      <c r="GX214" s="3">
        <f t="shared" si="41"/>
        <v>0</v>
      </c>
      <c r="GY214" s="3">
        <f t="shared" si="41"/>
        <v>0</v>
      </c>
      <c r="GZ214" s="3">
        <f t="shared" si="41"/>
        <v>0</v>
      </c>
      <c r="HA214" s="3">
        <f t="shared" si="41"/>
        <v>0</v>
      </c>
      <c r="HB214" s="3">
        <f t="shared" si="41"/>
        <v>0</v>
      </c>
      <c r="HC214" s="3">
        <f t="shared" si="41"/>
        <v>0</v>
      </c>
      <c r="HD214" s="3">
        <f t="shared" si="41"/>
        <v>0</v>
      </c>
      <c r="HE214" s="3">
        <f t="shared" si="41"/>
        <v>0</v>
      </c>
      <c r="HF214" s="3">
        <f>HF$338</f>
        <v>0</v>
      </c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8"/>
      <c r="LZ214" s="2">
        <v>0.24332264957265001</v>
      </c>
      <c r="MA214" s="1">
        <f t="shared" si="42"/>
        <v>0</v>
      </c>
      <c r="MB214" s="1">
        <v>0</v>
      </c>
      <c r="MC214" s="2">
        <v>0.24332265</v>
      </c>
      <c r="MD214" s="1">
        <f t="shared" si="43"/>
        <v>0.24332265</v>
      </c>
      <c r="ME214" s="1">
        <f t="shared" si="44"/>
        <v>0.24332265</v>
      </c>
    </row>
    <row r="215" spans="1:343" x14ac:dyDescent="0.2">
      <c r="A215" s="2">
        <v>10.5</v>
      </c>
      <c r="B215" s="7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>
        <f t="shared" si="41"/>
        <v>0</v>
      </c>
      <c r="GS215" s="3">
        <f t="shared" si="41"/>
        <v>0</v>
      </c>
      <c r="GT215" s="3">
        <f t="shared" si="41"/>
        <v>0</v>
      </c>
      <c r="GU215" s="3">
        <f t="shared" si="41"/>
        <v>0</v>
      </c>
      <c r="GV215" s="3">
        <f t="shared" si="41"/>
        <v>0</v>
      </c>
      <c r="GW215" s="3">
        <f t="shared" si="41"/>
        <v>0</v>
      </c>
      <c r="GX215" s="3">
        <f t="shared" si="41"/>
        <v>0</v>
      </c>
      <c r="GY215" s="3">
        <f t="shared" si="41"/>
        <v>0</v>
      </c>
      <c r="GZ215" s="3">
        <f t="shared" si="41"/>
        <v>0</v>
      </c>
      <c r="HA215" s="3">
        <f t="shared" si="41"/>
        <v>0</v>
      </c>
      <c r="HB215" s="3">
        <f t="shared" si="41"/>
        <v>0</v>
      </c>
      <c r="HC215" s="3">
        <f t="shared" si="41"/>
        <v>0</v>
      </c>
      <c r="HD215" s="3">
        <f t="shared" si="41"/>
        <v>0</v>
      </c>
      <c r="HE215" s="3">
        <f t="shared" si="41"/>
        <v>0</v>
      </c>
      <c r="HF215" s="3">
        <f t="shared" si="41"/>
        <v>0</v>
      </c>
      <c r="HG215" s="3">
        <f>HG$338</f>
        <v>0</v>
      </c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8"/>
      <c r="LZ215" s="2">
        <v>0.24332264957265001</v>
      </c>
      <c r="MA215" s="1">
        <f t="shared" si="42"/>
        <v>0</v>
      </c>
      <c r="MB215" s="1">
        <v>0</v>
      </c>
      <c r="MC215" s="2">
        <v>0.24332265</v>
      </c>
      <c r="MD215" s="1">
        <f t="shared" si="43"/>
        <v>0.24332265</v>
      </c>
      <c r="ME215" s="1">
        <f t="shared" si="44"/>
        <v>0.24332265</v>
      </c>
    </row>
    <row r="216" spans="1:343" x14ac:dyDescent="0.2">
      <c r="A216" s="2">
        <v>11</v>
      </c>
      <c r="B216" s="7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>
        <f t="shared" si="41"/>
        <v>0</v>
      </c>
      <c r="GT216" s="3">
        <f t="shared" si="41"/>
        <v>0</v>
      </c>
      <c r="GU216" s="3">
        <f t="shared" si="41"/>
        <v>0</v>
      </c>
      <c r="GV216" s="3">
        <f t="shared" si="41"/>
        <v>0</v>
      </c>
      <c r="GW216" s="3">
        <f t="shared" si="41"/>
        <v>0</v>
      </c>
      <c r="GX216" s="3">
        <f t="shared" si="41"/>
        <v>0</v>
      </c>
      <c r="GY216" s="3">
        <f t="shared" si="41"/>
        <v>0</v>
      </c>
      <c r="GZ216" s="3">
        <f t="shared" si="41"/>
        <v>0</v>
      </c>
      <c r="HA216" s="3">
        <f t="shared" si="41"/>
        <v>0</v>
      </c>
      <c r="HB216" s="3">
        <f t="shared" si="41"/>
        <v>0</v>
      </c>
      <c r="HC216" s="3">
        <f t="shared" si="41"/>
        <v>0</v>
      </c>
      <c r="HD216" s="3">
        <f t="shared" si="41"/>
        <v>0</v>
      </c>
      <c r="HE216" s="3">
        <f t="shared" si="41"/>
        <v>0</v>
      </c>
      <c r="HF216" s="3">
        <f t="shared" si="41"/>
        <v>0</v>
      </c>
      <c r="HG216" s="3">
        <f t="shared" si="41"/>
        <v>0</v>
      </c>
      <c r="HH216" s="3">
        <f>HH$338</f>
        <v>0</v>
      </c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8"/>
      <c r="LZ216" s="2">
        <v>0.323112535612536</v>
      </c>
      <c r="MA216" s="1">
        <f t="shared" si="42"/>
        <v>0</v>
      </c>
      <c r="MB216" s="1">
        <v>0</v>
      </c>
      <c r="MC216" s="2">
        <v>0.32311254</v>
      </c>
      <c r="MD216" s="1">
        <f t="shared" si="43"/>
        <v>0.32311254</v>
      </c>
      <c r="ME216" s="1">
        <f t="shared" si="44"/>
        <v>0.32311254</v>
      </c>
    </row>
    <row r="217" spans="1:343" x14ac:dyDescent="0.2">
      <c r="A217" s="2">
        <v>11.5</v>
      </c>
      <c r="B217" s="7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>
        <f t="shared" si="41"/>
        <v>0</v>
      </c>
      <c r="GU217" s="3">
        <f t="shared" si="41"/>
        <v>0</v>
      </c>
      <c r="GV217" s="3">
        <f t="shared" si="41"/>
        <v>0</v>
      </c>
      <c r="GW217" s="3">
        <f t="shared" si="41"/>
        <v>0</v>
      </c>
      <c r="GX217" s="3">
        <f t="shared" si="41"/>
        <v>0</v>
      </c>
      <c r="GY217" s="3">
        <f t="shared" si="41"/>
        <v>0</v>
      </c>
      <c r="GZ217" s="3">
        <f t="shared" si="41"/>
        <v>0</v>
      </c>
      <c r="HA217" s="3">
        <f t="shared" si="41"/>
        <v>0</v>
      </c>
      <c r="HB217" s="3">
        <f t="shared" si="41"/>
        <v>0</v>
      </c>
      <c r="HC217" s="3">
        <f t="shared" si="41"/>
        <v>0</v>
      </c>
      <c r="HD217" s="3">
        <f t="shared" si="41"/>
        <v>0</v>
      </c>
      <c r="HE217" s="3">
        <f t="shared" si="41"/>
        <v>0</v>
      </c>
      <c r="HF217" s="3">
        <f t="shared" si="41"/>
        <v>0</v>
      </c>
      <c r="HG217" s="3">
        <f t="shared" si="41"/>
        <v>0</v>
      </c>
      <c r="HH217" s="3">
        <f t="shared" si="41"/>
        <v>0</v>
      </c>
      <c r="HI217" s="3">
        <f>HI$338</f>
        <v>0</v>
      </c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8"/>
      <c r="LZ217" s="2">
        <v>0.323112535612536</v>
      </c>
      <c r="MA217" s="1">
        <f t="shared" si="42"/>
        <v>0</v>
      </c>
      <c r="MB217" s="1">
        <v>0</v>
      </c>
      <c r="MC217" s="2">
        <v>0.32311254</v>
      </c>
      <c r="MD217" s="1">
        <f t="shared" si="43"/>
        <v>0.32311254</v>
      </c>
      <c r="ME217" s="1">
        <f t="shared" si="44"/>
        <v>0.32311254</v>
      </c>
    </row>
    <row r="218" spans="1:343" x14ac:dyDescent="0.2">
      <c r="A218" s="2">
        <v>12</v>
      </c>
      <c r="B218" s="7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>
        <f t="shared" si="41"/>
        <v>0</v>
      </c>
      <c r="GV218" s="3">
        <f t="shared" si="41"/>
        <v>0</v>
      </c>
      <c r="GW218" s="3">
        <f t="shared" si="41"/>
        <v>0</v>
      </c>
      <c r="GX218" s="3">
        <f t="shared" si="41"/>
        <v>0</v>
      </c>
      <c r="GY218" s="3">
        <f t="shared" si="41"/>
        <v>0</v>
      </c>
      <c r="GZ218" s="3">
        <f t="shared" si="41"/>
        <v>0</v>
      </c>
      <c r="HA218" s="3">
        <f t="shared" si="41"/>
        <v>0</v>
      </c>
      <c r="HB218" s="3">
        <f t="shared" si="41"/>
        <v>0</v>
      </c>
      <c r="HC218" s="3">
        <f t="shared" si="41"/>
        <v>0</v>
      </c>
      <c r="HD218" s="3">
        <f t="shared" si="41"/>
        <v>0</v>
      </c>
      <c r="HE218" s="3">
        <f t="shared" si="41"/>
        <v>0</v>
      </c>
      <c r="HF218" s="3">
        <f t="shared" si="41"/>
        <v>0</v>
      </c>
      <c r="HG218" s="3">
        <f t="shared" si="41"/>
        <v>0</v>
      </c>
      <c r="HH218" s="3">
        <f t="shared" si="41"/>
        <v>0</v>
      </c>
      <c r="HI218" s="3">
        <f t="shared" si="41"/>
        <v>0</v>
      </c>
      <c r="HJ218" s="3">
        <f>HJ$338</f>
        <v>0</v>
      </c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8"/>
      <c r="LZ218" s="2">
        <v>0.35334757834757802</v>
      </c>
      <c r="MA218" s="1">
        <f t="shared" si="42"/>
        <v>0</v>
      </c>
      <c r="MB218" s="1">
        <v>0</v>
      </c>
      <c r="MC218" s="2">
        <v>0.35334757999999999</v>
      </c>
      <c r="MD218" s="1">
        <f t="shared" si="43"/>
        <v>0.35334757999999999</v>
      </c>
      <c r="ME218" s="1">
        <f t="shared" si="44"/>
        <v>0.35334757999999999</v>
      </c>
    </row>
    <row r="219" spans="1:343" x14ac:dyDescent="0.2">
      <c r="A219" s="2">
        <v>12.5</v>
      </c>
      <c r="B219" s="7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>
        <f t="shared" ref="GV219:HQ240" si="45">GV$338</f>
        <v>0</v>
      </c>
      <c r="GW219" s="3">
        <f t="shared" si="45"/>
        <v>0</v>
      </c>
      <c r="GX219" s="3">
        <f t="shared" si="45"/>
        <v>0</v>
      </c>
      <c r="GY219" s="3">
        <f t="shared" si="45"/>
        <v>0</v>
      </c>
      <c r="GZ219" s="3">
        <f t="shared" si="45"/>
        <v>0</v>
      </c>
      <c r="HA219" s="3">
        <f t="shared" si="45"/>
        <v>0</v>
      </c>
      <c r="HB219" s="3">
        <f t="shared" si="45"/>
        <v>0</v>
      </c>
      <c r="HC219" s="3">
        <f t="shared" si="45"/>
        <v>0</v>
      </c>
      <c r="HD219" s="3">
        <f t="shared" si="45"/>
        <v>0</v>
      </c>
      <c r="HE219" s="3">
        <f t="shared" si="45"/>
        <v>0</v>
      </c>
      <c r="HF219" s="3">
        <f t="shared" si="45"/>
        <v>0</v>
      </c>
      <c r="HG219" s="3">
        <f t="shared" si="45"/>
        <v>0</v>
      </c>
      <c r="HH219" s="3">
        <f t="shared" si="45"/>
        <v>0</v>
      </c>
      <c r="HI219" s="3">
        <f t="shared" si="45"/>
        <v>0</v>
      </c>
      <c r="HJ219" s="3">
        <f t="shared" si="45"/>
        <v>0</v>
      </c>
      <c r="HK219" s="3">
        <f>HK$338</f>
        <v>0</v>
      </c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8"/>
      <c r="LZ219" s="2">
        <v>0.35334757834757802</v>
      </c>
      <c r="MA219" s="1">
        <f t="shared" si="42"/>
        <v>0</v>
      </c>
      <c r="MB219" s="1">
        <v>0</v>
      </c>
      <c r="MC219" s="2">
        <v>0.35334757999999999</v>
      </c>
      <c r="MD219" s="1">
        <f t="shared" si="43"/>
        <v>0.35334757999999999</v>
      </c>
      <c r="ME219" s="1">
        <f t="shared" si="44"/>
        <v>0.35334757999999999</v>
      </c>
    </row>
    <row r="220" spans="1:343" x14ac:dyDescent="0.2">
      <c r="A220" s="2">
        <v>13</v>
      </c>
      <c r="B220" s="7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>
        <f t="shared" si="45"/>
        <v>0</v>
      </c>
      <c r="GX220" s="3">
        <f t="shared" si="45"/>
        <v>0</v>
      </c>
      <c r="GY220" s="3">
        <f t="shared" si="45"/>
        <v>0</v>
      </c>
      <c r="GZ220" s="3">
        <f t="shared" si="45"/>
        <v>0</v>
      </c>
      <c r="HA220" s="3">
        <f t="shared" si="45"/>
        <v>0</v>
      </c>
      <c r="HB220" s="3">
        <f t="shared" si="45"/>
        <v>0</v>
      </c>
      <c r="HC220" s="3">
        <f t="shared" si="45"/>
        <v>0</v>
      </c>
      <c r="HD220" s="3">
        <f t="shared" si="45"/>
        <v>0</v>
      </c>
      <c r="HE220" s="3">
        <f t="shared" si="45"/>
        <v>0</v>
      </c>
      <c r="HF220" s="3">
        <f t="shared" si="45"/>
        <v>0</v>
      </c>
      <c r="HG220" s="3">
        <f t="shared" si="45"/>
        <v>0</v>
      </c>
      <c r="HH220" s="3">
        <f t="shared" si="45"/>
        <v>0</v>
      </c>
      <c r="HI220" s="3">
        <f t="shared" si="45"/>
        <v>0</v>
      </c>
      <c r="HJ220" s="3">
        <f t="shared" si="45"/>
        <v>0</v>
      </c>
      <c r="HK220" s="3">
        <f t="shared" si="45"/>
        <v>0</v>
      </c>
      <c r="HL220" s="3">
        <f>HL$338</f>
        <v>0</v>
      </c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8"/>
      <c r="LZ220" s="2">
        <v>0.34569088319088298</v>
      </c>
      <c r="MA220" s="1">
        <f t="shared" si="42"/>
        <v>0</v>
      </c>
      <c r="MB220" s="1">
        <v>0</v>
      </c>
      <c r="MC220" s="2">
        <v>0.34569087999999998</v>
      </c>
      <c r="MD220" s="1">
        <f t="shared" si="43"/>
        <v>0.34569087999999998</v>
      </c>
      <c r="ME220" s="1">
        <f t="shared" si="44"/>
        <v>0.34569087999999998</v>
      </c>
    </row>
    <row r="221" spans="1:343" x14ac:dyDescent="0.2">
      <c r="A221" s="2">
        <v>13.5</v>
      </c>
      <c r="B221" s="7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>
        <f t="shared" si="45"/>
        <v>0</v>
      </c>
      <c r="GY221" s="3">
        <f t="shared" si="45"/>
        <v>0</v>
      </c>
      <c r="GZ221" s="3">
        <f t="shared" si="45"/>
        <v>0</v>
      </c>
      <c r="HA221" s="3">
        <f t="shared" si="45"/>
        <v>0</v>
      </c>
      <c r="HB221" s="3">
        <f t="shared" si="45"/>
        <v>0</v>
      </c>
      <c r="HC221" s="3">
        <f t="shared" si="45"/>
        <v>0</v>
      </c>
      <c r="HD221" s="3">
        <f t="shared" si="45"/>
        <v>0</v>
      </c>
      <c r="HE221" s="3">
        <f t="shared" si="45"/>
        <v>0</v>
      </c>
      <c r="HF221" s="3">
        <f t="shared" si="45"/>
        <v>0</v>
      </c>
      <c r="HG221" s="3">
        <f t="shared" si="45"/>
        <v>0</v>
      </c>
      <c r="HH221" s="3">
        <f t="shared" si="45"/>
        <v>0</v>
      </c>
      <c r="HI221" s="3">
        <f t="shared" si="45"/>
        <v>0</v>
      </c>
      <c r="HJ221" s="3">
        <f t="shared" si="45"/>
        <v>0</v>
      </c>
      <c r="HK221" s="3">
        <f t="shared" si="45"/>
        <v>0</v>
      </c>
      <c r="HL221" s="3">
        <f t="shared" si="45"/>
        <v>0</v>
      </c>
      <c r="HM221" s="3">
        <f>HM$338</f>
        <v>0</v>
      </c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8"/>
      <c r="LZ221" s="2">
        <v>0.34569088319088298</v>
      </c>
      <c r="MA221" s="1">
        <f t="shared" si="42"/>
        <v>0</v>
      </c>
      <c r="MB221" s="1">
        <v>0</v>
      </c>
      <c r="MC221" s="2">
        <v>0.34569087999999998</v>
      </c>
      <c r="MD221" s="1">
        <f t="shared" si="43"/>
        <v>0.34569087999999998</v>
      </c>
      <c r="ME221" s="1">
        <f t="shared" si="44"/>
        <v>0.34569087999999998</v>
      </c>
    </row>
    <row r="222" spans="1:343" x14ac:dyDescent="0.2">
      <c r="A222" s="2">
        <v>14</v>
      </c>
      <c r="B222" s="7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>
        <f t="shared" si="45"/>
        <v>0</v>
      </c>
      <c r="GZ222" s="3">
        <f t="shared" si="45"/>
        <v>0</v>
      </c>
      <c r="HA222" s="3">
        <f t="shared" si="45"/>
        <v>0</v>
      </c>
      <c r="HB222" s="3">
        <f t="shared" si="45"/>
        <v>0</v>
      </c>
      <c r="HC222" s="3">
        <f t="shared" si="45"/>
        <v>0</v>
      </c>
      <c r="HD222" s="3">
        <f t="shared" si="45"/>
        <v>0</v>
      </c>
      <c r="HE222" s="3">
        <f t="shared" si="45"/>
        <v>0</v>
      </c>
      <c r="HF222" s="3">
        <f t="shared" si="45"/>
        <v>0</v>
      </c>
      <c r="HG222" s="3">
        <f t="shared" si="45"/>
        <v>0</v>
      </c>
      <c r="HH222" s="3">
        <f t="shared" si="45"/>
        <v>0</v>
      </c>
      <c r="HI222" s="3">
        <f t="shared" si="45"/>
        <v>0</v>
      </c>
      <c r="HJ222" s="3">
        <f t="shared" si="45"/>
        <v>0</v>
      </c>
      <c r="HK222" s="3">
        <f t="shared" si="45"/>
        <v>0</v>
      </c>
      <c r="HL222" s="3">
        <f t="shared" si="45"/>
        <v>0</v>
      </c>
      <c r="HM222" s="3">
        <f t="shared" si="45"/>
        <v>0</v>
      </c>
      <c r="HN222" s="3">
        <f>HN$338</f>
        <v>0</v>
      </c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8"/>
      <c r="LZ222" s="2">
        <v>0.346207264957265</v>
      </c>
      <c r="MA222" s="1">
        <f t="shared" si="42"/>
        <v>0</v>
      </c>
      <c r="MB222" s="1">
        <v>0</v>
      </c>
      <c r="MC222" s="2">
        <v>0.34620726000000002</v>
      </c>
      <c r="MD222" s="1">
        <f t="shared" si="43"/>
        <v>0.34620726000000002</v>
      </c>
      <c r="ME222" s="1">
        <f t="shared" si="44"/>
        <v>0.34620726000000002</v>
      </c>
    </row>
    <row r="223" spans="1:343" x14ac:dyDescent="0.2">
      <c r="A223" s="2">
        <v>14.5</v>
      </c>
      <c r="B223" s="7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>
        <f t="shared" si="45"/>
        <v>0</v>
      </c>
      <c r="HA223" s="3">
        <f t="shared" si="45"/>
        <v>0</v>
      </c>
      <c r="HB223" s="3">
        <f t="shared" si="45"/>
        <v>0</v>
      </c>
      <c r="HC223" s="3">
        <f t="shared" si="45"/>
        <v>0</v>
      </c>
      <c r="HD223" s="3">
        <f t="shared" si="45"/>
        <v>0</v>
      </c>
      <c r="HE223" s="3">
        <f t="shared" si="45"/>
        <v>0</v>
      </c>
      <c r="HF223" s="3">
        <f t="shared" si="45"/>
        <v>0</v>
      </c>
      <c r="HG223" s="3">
        <f t="shared" si="45"/>
        <v>0</v>
      </c>
      <c r="HH223" s="3">
        <f t="shared" si="45"/>
        <v>0</v>
      </c>
      <c r="HI223" s="3">
        <f t="shared" si="45"/>
        <v>0</v>
      </c>
      <c r="HJ223" s="3">
        <f t="shared" si="45"/>
        <v>0</v>
      </c>
      <c r="HK223" s="3">
        <f t="shared" si="45"/>
        <v>0</v>
      </c>
      <c r="HL223" s="3">
        <f t="shared" si="45"/>
        <v>0</v>
      </c>
      <c r="HM223" s="3">
        <f t="shared" si="45"/>
        <v>0</v>
      </c>
      <c r="HN223" s="3">
        <f t="shared" si="45"/>
        <v>0</v>
      </c>
      <c r="HO223" s="3">
        <f>HO$338</f>
        <v>0</v>
      </c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8"/>
      <c r="LZ223" s="2">
        <v>0.346207264957265</v>
      </c>
      <c r="MA223" s="1">
        <f t="shared" si="42"/>
        <v>0</v>
      </c>
      <c r="MB223" s="1">
        <v>0</v>
      </c>
      <c r="MC223" s="2">
        <v>0.34620726000000002</v>
      </c>
      <c r="MD223" s="1">
        <f t="shared" si="43"/>
        <v>0.34620726000000002</v>
      </c>
      <c r="ME223" s="1">
        <f t="shared" si="44"/>
        <v>0.34620726000000002</v>
      </c>
    </row>
    <row r="224" spans="1:343" x14ac:dyDescent="0.2">
      <c r="A224" s="2">
        <v>15</v>
      </c>
      <c r="B224" s="7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>
        <f t="shared" si="45"/>
        <v>0</v>
      </c>
      <c r="HB224" s="3">
        <f t="shared" si="45"/>
        <v>0</v>
      </c>
      <c r="HC224" s="3">
        <f t="shared" si="45"/>
        <v>0</v>
      </c>
      <c r="HD224" s="3">
        <f t="shared" si="45"/>
        <v>0</v>
      </c>
      <c r="HE224" s="3">
        <f t="shared" si="45"/>
        <v>0</v>
      </c>
      <c r="HF224" s="3">
        <f t="shared" si="45"/>
        <v>0</v>
      </c>
      <c r="HG224" s="3">
        <f t="shared" si="45"/>
        <v>0</v>
      </c>
      <c r="HH224" s="3">
        <f t="shared" si="45"/>
        <v>0</v>
      </c>
      <c r="HI224" s="3">
        <f t="shared" si="45"/>
        <v>0</v>
      </c>
      <c r="HJ224" s="3">
        <f t="shared" si="45"/>
        <v>0</v>
      </c>
      <c r="HK224" s="3">
        <f t="shared" si="45"/>
        <v>0</v>
      </c>
      <c r="HL224" s="3">
        <f t="shared" si="45"/>
        <v>0</v>
      </c>
      <c r="HM224" s="3">
        <f t="shared" si="45"/>
        <v>0</v>
      </c>
      <c r="HN224" s="3">
        <f t="shared" si="45"/>
        <v>0</v>
      </c>
      <c r="HO224" s="3">
        <f t="shared" si="45"/>
        <v>0</v>
      </c>
      <c r="HP224" s="3">
        <f>HP$338</f>
        <v>0</v>
      </c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8"/>
      <c r="LZ224" s="2">
        <v>0.35010683760683797</v>
      </c>
      <c r="MA224" s="1">
        <f t="shared" si="42"/>
        <v>0</v>
      </c>
      <c r="MB224" s="1">
        <v>0</v>
      </c>
      <c r="MC224" s="2">
        <v>0.35010683999999997</v>
      </c>
      <c r="MD224" s="1">
        <f t="shared" si="43"/>
        <v>0.35010683999999997</v>
      </c>
      <c r="ME224" s="1">
        <f t="shared" si="44"/>
        <v>0.35010683999999997</v>
      </c>
    </row>
    <row r="225" spans="1:343" x14ac:dyDescent="0.2">
      <c r="A225" s="2">
        <v>15.5</v>
      </c>
      <c r="B225" s="7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>
        <f t="shared" si="45"/>
        <v>0</v>
      </c>
      <c r="HC225" s="3">
        <f t="shared" si="45"/>
        <v>0</v>
      </c>
      <c r="HD225" s="3">
        <f t="shared" si="45"/>
        <v>0</v>
      </c>
      <c r="HE225" s="3">
        <f t="shared" si="45"/>
        <v>0</v>
      </c>
      <c r="HF225" s="3">
        <f t="shared" si="45"/>
        <v>0</v>
      </c>
      <c r="HG225" s="3">
        <f t="shared" si="45"/>
        <v>0</v>
      </c>
      <c r="HH225" s="3">
        <f t="shared" si="45"/>
        <v>0</v>
      </c>
      <c r="HI225" s="3">
        <f t="shared" si="45"/>
        <v>0</v>
      </c>
      <c r="HJ225" s="3">
        <f t="shared" si="45"/>
        <v>0</v>
      </c>
      <c r="HK225" s="3">
        <f t="shared" si="45"/>
        <v>0</v>
      </c>
      <c r="HL225" s="3">
        <f t="shared" si="45"/>
        <v>0</v>
      </c>
      <c r="HM225" s="3">
        <f t="shared" si="45"/>
        <v>0</v>
      </c>
      <c r="HN225" s="3">
        <f t="shared" si="45"/>
        <v>0</v>
      </c>
      <c r="HO225" s="3">
        <f t="shared" si="45"/>
        <v>0</v>
      </c>
      <c r="HP225" s="3">
        <f t="shared" si="45"/>
        <v>0</v>
      </c>
      <c r="HQ225" s="3">
        <f>HQ$338</f>
        <v>0</v>
      </c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8"/>
      <c r="LZ225" s="2">
        <v>0.35010683760683797</v>
      </c>
      <c r="MA225" s="1">
        <f t="shared" si="42"/>
        <v>0</v>
      </c>
      <c r="MB225" s="1">
        <v>0</v>
      </c>
      <c r="MC225" s="2">
        <v>0.35010683999999997</v>
      </c>
      <c r="MD225" s="1">
        <f t="shared" si="43"/>
        <v>0.35010683999999997</v>
      </c>
      <c r="ME225" s="1">
        <f t="shared" si="44"/>
        <v>0.35010683999999997</v>
      </c>
    </row>
    <row r="226" spans="1:343" x14ac:dyDescent="0.2">
      <c r="A226" s="2">
        <v>16</v>
      </c>
      <c r="B226" s="7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>
        <f t="shared" si="45"/>
        <v>0</v>
      </c>
      <c r="HD226" s="3">
        <f t="shared" si="45"/>
        <v>0</v>
      </c>
      <c r="HE226" s="3">
        <f t="shared" si="45"/>
        <v>0</v>
      </c>
      <c r="HF226" s="3">
        <f t="shared" si="45"/>
        <v>0</v>
      </c>
      <c r="HG226" s="3">
        <f t="shared" si="45"/>
        <v>0</v>
      </c>
      <c r="HH226" s="3">
        <f t="shared" si="45"/>
        <v>0</v>
      </c>
      <c r="HI226" s="3">
        <f t="shared" si="45"/>
        <v>0</v>
      </c>
      <c r="HJ226" s="3">
        <f t="shared" si="45"/>
        <v>0</v>
      </c>
      <c r="HK226" s="3">
        <f t="shared" si="45"/>
        <v>0</v>
      </c>
      <c r="HL226" s="3">
        <f t="shared" si="45"/>
        <v>0</v>
      </c>
      <c r="HM226" s="3">
        <f t="shared" si="45"/>
        <v>0</v>
      </c>
      <c r="HN226" s="3">
        <f t="shared" si="45"/>
        <v>0</v>
      </c>
      <c r="HO226" s="3">
        <f t="shared" si="45"/>
        <v>0</v>
      </c>
      <c r="HP226" s="3">
        <f t="shared" si="45"/>
        <v>0</v>
      </c>
      <c r="HQ226" s="3">
        <f t="shared" si="45"/>
        <v>0</v>
      </c>
      <c r="HR226" s="3">
        <f>HR$338</f>
        <v>0</v>
      </c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8"/>
      <c r="LZ226" s="2">
        <v>0.38180199430199402</v>
      </c>
      <c r="MA226" s="1">
        <f t="shared" si="42"/>
        <v>0</v>
      </c>
      <c r="MB226" s="1">
        <v>0</v>
      </c>
      <c r="MC226" s="2">
        <v>0.38180198999999998</v>
      </c>
      <c r="MD226" s="1">
        <f t="shared" si="43"/>
        <v>0.38180198999999998</v>
      </c>
      <c r="ME226" s="1">
        <f t="shared" si="44"/>
        <v>0.38180198999999998</v>
      </c>
    </row>
    <row r="227" spans="1:343" x14ac:dyDescent="0.2">
      <c r="A227" s="2">
        <v>16.5</v>
      </c>
      <c r="B227" s="7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>
        <f t="shared" si="45"/>
        <v>0</v>
      </c>
      <c r="HE227" s="3">
        <f t="shared" si="45"/>
        <v>0</v>
      </c>
      <c r="HF227" s="3">
        <f t="shared" si="45"/>
        <v>0</v>
      </c>
      <c r="HG227" s="3">
        <f t="shared" si="45"/>
        <v>0</v>
      </c>
      <c r="HH227" s="3">
        <f t="shared" si="45"/>
        <v>0</v>
      </c>
      <c r="HI227" s="3">
        <f t="shared" si="45"/>
        <v>0</v>
      </c>
      <c r="HJ227" s="3">
        <f t="shared" si="45"/>
        <v>0</v>
      </c>
      <c r="HK227" s="3">
        <f t="shared" si="45"/>
        <v>0</v>
      </c>
      <c r="HL227" s="3">
        <f t="shared" si="45"/>
        <v>0</v>
      </c>
      <c r="HM227" s="3">
        <f t="shared" si="45"/>
        <v>0</v>
      </c>
      <c r="HN227" s="3">
        <f t="shared" si="45"/>
        <v>0</v>
      </c>
      <c r="HO227" s="3">
        <f t="shared" si="45"/>
        <v>0</v>
      </c>
      <c r="HP227" s="3">
        <f t="shared" si="45"/>
        <v>0</v>
      </c>
      <c r="HQ227" s="3">
        <f t="shared" si="45"/>
        <v>0</v>
      </c>
      <c r="HR227" s="3">
        <f t="shared" ref="HR227:IO250" si="46">HR$338</f>
        <v>0</v>
      </c>
      <c r="HS227" s="3">
        <f>HS$338</f>
        <v>0</v>
      </c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8"/>
      <c r="LZ227" s="2">
        <v>0.38180199430199402</v>
      </c>
      <c r="MA227" s="1">
        <f t="shared" si="42"/>
        <v>0</v>
      </c>
      <c r="MB227" s="1">
        <v>0</v>
      </c>
      <c r="MC227" s="2">
        <v>0.38180198999999998</v>
      </c>
      <c r="MD227" s="1">
        <f t="shared" si="43"/>
        <v>0.38180198999999998</v>
      </c>
      <c r="ME227" s="1">
        <f t="shared" si="44"/>
        <v>0.38180198999999998</v>
      </c>
    </row>
    <row r="228" spans="1:343" x14ac:dyDescent="0.2">
      <c r="A228" s="2">
        <v>17</v>
      </c>
      <c r="B228" s="7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>
        <f t="shared" si="45"/>
        <v>0</v>
      </c>
      <c r="HF228" s="3">
        <f t="shared" si="45"/>
        <v>0</v>
      </c>
      <c r="HG228" s="3">
        <f t="shared" si="45"/>
        <v>0</v>
      </c>
      <c r="HH228" s="3">
        <f t="shared" si="45"/>
        <v>0</v>
      </c>
      <c r="HI228" s="3">
        <f t="shared" si="45"/>
        <v>0</v>
      </c>
      <c r="HJ228" s="3">
        <f t="shared" si="45"/>
        <v>0</v>
      </c>
      <c r="HK228" s="3">
        <f t="shared" si="45"/>
        <v>0</v>
      </c>
      <c r="HL228" s="3">
        <f t="shared" si="45"/>
        <v>0</v>
      </c>
      <c r="HM228" s="3">
        <f t="shared" si="45"/>
        <v>0</v>
      </c>
      <c r="HN228" s="3">
        <f t="shared" si="45"/>
        <v>0</v>
      </c>
      <c r="HO228" s="3">
        <f t="shared" si="45"/>
        <v>0</v>
      </c>
      <c r="HP228" s="3">
        <f t="shared" si="45"/>
        <v>0</v>
      </c>
      <c r="HQ228" s="3">
        <f t="shared" si="45"/>
        <v>0</v>
      </c>
      <c r="HR228" s="3">
        <f t="shared" si="46"/>
        <v>0</v>
      </c>
      <c r="HS228" s="3">
        <f t="shared" si="46"/>
        <v>0</v>
      </c>
      <c r="HT228" s="3">
        <f>HT$338</f>
        <v>1</v>
      </c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8"/>
      <c r="LZ228" s="2">
        <v>0.44294871794871798</v>
      </c>
      <c r="MA228" s="1">
        <f t="shared" si="42"/>
        <v>1</v>
      </c>
      <c r="MB228" s="1">
        <v>0.55705128000000004</v>
      </c>
      <c r="MC228" s="2">
        <v>0</v>
      </c>
      <c r="MD228" s="1">
        <f t="shared" si="43"/>
        <v>0.44294871999999996</v>
      </c>
      <c r="ME228" s="1">
        <f t="shared" si="44"/>
        <v>0.55705128000000004</v>
      </c>
    </row>
    <row r="229" spans="1:343" x14ac:dyDescent="0.2">
      <c r="A229" s="2">
        <v>17.5</v>
      </c>
      <c r="B229" s="7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>
        <f t="shared" si="45"/>
        <v>0</v>
      </c>
      <c r="HG229" s="3">
        <f t="shared" si="45"/>
        <v>0</v>
      </c>
      <c r="HH229" s="3">
        <f t="shared" si="45"/>
        <v>0</v>
      </c>
      <c r="HI229" s="3">
        <f t="shared" si="45"/>
        <v>0</v>
      </c>
      <c r="HJ229" s="3">
        <f t="shared" si="45"/>
        <v>0</v>
      </c>
      <c r="HK229" s="3">
        <f t="shared" si="45"/>
        <v>0</v>
      </c>
      <c r="HL229" s="3">
        <f t="shared" si="45"/>
        <v>0</v>
      </c>
      <c r="HM229" s="3">
        <f t="shared" si="45"/>
        <v>0</v>
      </c>
      <c r="HN229" s="3">
        <f t="shared" si="45"/>
        <v>0</v>
      </c>
      <c r="HO229" s="3">
        <f t="shared" si="45"/>
        <v>0</v>
      </c>
      <c r="HP229" s="3">
        <f t="shared" si="45"/>
        <v>0</v>
      </c>
      <c r="HQ229" s="3">
        <f t="shared" si="45"/>
        <v>0</v>
      </c>
      <c r="HR229" s="3">
        <f t="shared" si="46"/>
        <v>0</v>
      </c>
      <c r="HS229" s="3">
        <f t="shared" si="46"/>
        <v>0</v>
      </c>
      <c r="HT229" s="3">
        <f t="shared" si="46"/>
        <v>1</v>
      </c>
      <c r="HU229" s="3">
        <f>HU$338</f>
        <v>0</v>
      </c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8"/>
      <c r="LZ229" s="2">
        <v>0.44294871794871798</v>
      </c>
      <c r="MA229" s="1">
        <f t="shared" si="42"/>
        <v>1</v>
      </c>
      <c r="MB229" s="1">
        <v>0.55705128000000004</v>
      </c>
      <c r="MC229" s="2">
        <v>0</v>
      </c>
      <c r="MD229" s="1">
        <f t="shared" si="43"/>
        <v>0.44294871999999996</v>
      </c>
      <c r="ME229" s="1">
        <f t="shared" si="44"/>
        <v>0.55705128000000004</v>
      </c>
    </row>
    <row r="230" spans="1:343" x14ac:dyDescent="0.2">
      <c r="A230" s="2">
        <v>18</v>
      </c>
      <c r="B230" s="7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>
        <f t="shared" si="45"/>
        <v>0</v>
      </c>
      <c r="HH230" s="3">
        <f t="shared" si="45"/>
        <v>0</v>
      </c>
      <c r="HI230" s="3">
        <f t="shared" si="45"/>
        <v>0</v>
      </c>
      <c r="HJ230" s="3">
        <f t="shared" si="45"/>
        <v>0</v>
      </c>
      <c r="HK230" s="3">
        <f t="shared" si="45"/>
        <v>0</v>
      </c>
      <c r="HL230" s="3">
        <f t="shared" si="45"/>
        <v>0</v>
      </c>
      <c r="HM230" s="3">
        <f t="shared" si="45"/>
        <v>0</v>
      </c>
      <c r="HN230" s="3">
        <f t="shared" si="45"/>
        <v>0</v>
      </c>
      <c r="HO230" s="3">
        <f t="shared" si="45"/>
        <v>0</v>
      </c>
      <c r="HP230" s="3">
        <f t="shared" si="45"/>
        <v>0</v>
      </c>
      <c r="HQ230" s="3">
        <f t="shared" si="45"/>
        <v>0</v>
      </c>
      <c r="HR230" s="3">
        <f t="shared" si="46"/>
        <v>0</v>
      </c>
      <c r="HS230" s="3">
        <f t="shared" si="46"/>
        <v>0</v>
      </c>
      <c r="HT230" s="3">
        <f t="shared" si="46"/>
        <v>1</v>
      </c>
      <c r="HU230" s="3">
        <f t="shared" si="46"/>
        <v>0</v>
      </c>
      <c r="HV230" s="3">
        <f>HV$338</f>
        <v>0</v>
      </c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8"/>
      <c r="LZ230" s="2">
        <v>0.53037749287749303</v>
      </c>
      <c r="MA230" s="1">
        <f t="shared" si="42"/>
        <v>1</v>
      </c>
      <c r="MB230" s="1">
        <v>0.46962250999999999</v>
      </c>
      <c r="MC230" s="2">
        <v>0</v>
      </c>
      <c r="MD230" s="1">
        <f t="shared" si="43"/>
        <v>0.53037749000000001</v>
      </c>
      <c r="ME230" s="1">
        <f t="shared" si="44"/>
        <v>0.46962250999999999</v>
      </c>
    </row>
    <row r="231" spans="1:343" x14ac:dyDescent="0.2">
      <c r="A231" s="2">
        <v>18.5</v>
      </c>
      <c r="B231" s="7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>
        <f t="shared" si="45"/>
        <v>0</v>
      </c>
      <c r="HI231" s="3">
        <f t="shared" si="45"/>
        <v>0</v>
      </c>
      <c r="HJ231" s="3">
        <f t="shared" si="45"/>
        <v>0</v>
      </c>
      <c r="HK231" s="3">
        <f t="shared" si="45"/>
        <v>0</v>
      </c>
      <c r="HL231" s="3">
        <f t="shared" si="45"/>
        <v>0</v>
      </c>
      <c r="HM231" s="3">
        <f t="shared" si="45"/>
        <v>0</v>
      </c>
      <c r="HN231" s="3">
        <f t="shared" si="45"/>
        <v>0</v>
      </c>
      <c r="HO231" s="3">
        <f t="shared" si="45"/>
        <v>0</v>
      </c>
      <c r="HP231" s="3">
        <f t="shared" si="45"/>
        <v>0</v>
      </c>
      <c r="HQ231" s="3">
        <f t="shared" si="45"/>
        <v>0</v>
      </c>
      <c r="HR231" s="3">
        <f t="shared" si="46"/>
        <v>0</v>
      </c>
      <c r="HS231" s="3">
        <f t="shared" si="46"/>
        <v>0</v>
      </c>
      <c r="HT231" s="3">
        <f t="shared" si="46"/>
        <v>1</v>
      </c>
      <c r="HU231" s="3">
        <f t="shared" si="46"/>
        <v>0</v>
      </c>
      <c r="HV231" s="3">
        <f t="shared" si="46"/>
        <v>0</v>
      </c>
      <c r="HW231" s="3">
        <f>HW$338</f>
        <v>0</v>
      </c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8"/>
      <c r="LZ231" s="2">
        <v>0.53037749287749303</v>
      </c>
      <c r="MA231" s="1">
        <f t="shared" si="42"/>
        <v>1</v>
      </c>
      <c r="MB231" s="1">
        <v>0.46962250999999999</v>
      </c>
      <c r="MC231" s="2">
        <v>0</v>
      </c>
      <c r="MD231" s="1">
        <f t="shared" si="43"/>
        <v>0.53037749000000001</v>
      </c>
      <c r="ME231" s="1">
        <f t="shared" si="44"/>
        <v>0.46962250999999999</v>
      </c>
    </row>
    <row r="232" spans="1:343" x14ac:dyDescent="0.2">
      <c r="A232" s="2">
        <v>19</v>
      </c>
      <c r="B232" s="7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>
        <f t="shared" si="45"/>
        <v>0</v>
      </c>
      <c r="HJ232" s="3">
        <f t="shared" si="45"/>
        <v>0</v>
      </c>
      <c r="HK232" s="3">
        <f t="shared" si="45"/>
        <v>0</v>
      </c>
      <c r="HL232" s="3">
        <f t="shared" si="45"/>
        <v>0</v>
      </c>
      <c r="HM232" s="3">
        <f t="shared" si="45"/>
        <v>0</v>
      </c>
      <c r="HN232" s="3">
        <f t="shared" si="45"/>
        <v>0</v>
      </c>
      <c r="HO232" s="3">
        <f t="shared" si="45"/>
        <v>0</v>
      </c>
      <c r="HP232" s="3">
        <f t="shared" si="45"/>
        <v>0</v>
      </c>
      <c r="HQ232" s="3">
        <f t="shared" si="45"/>
        <v>0</v>
      </c>
      <c r="HR232" s="3">
        <f t="shared" si="46"/>
        <v>0</v>
      </c>
      <c r="HS232" s="3">
        <f t="shared" si="46"/>
        <v>0</v>
      </c>
      <c r="HT232" s="3">
        <f t="shared" si="46"/>
        <v>1</v>
      </c>
      <c r="HU232" s="3">
        <f t="shared" si="46"/>
        <v>0</v>
      </c>
      <c r="HV232" s="3">
        <f t="shared" si="46"/>
        <v>0</v>
      </c>
      <c r="HW232" s="3">
        <f t="shared" si="46"/>
        <v>0</v>
      </c>
      <c r="HX232" s="3">
        <f>HX$338</f>
        <v>0</v>
      </c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8"/>
      <c r="LZ232" s="2">
        <v>0.64059829059829099</v>
      </c>
      <c r="MA232" s="1">
        <f t="shared" si="42"/>
        <v>1</v>
      </c>
      <c r="MB232" s="1">
        <v>0.35940170999999999</v>
      </c>
      <c r="MC232" s="2">
        <v>0</v>
      </c>
      <c r="MD232" s="1">
        <f t="shared" si="43"/>
        <v>0.64059829000000001</v>
      </c>
      <c r="ME232" s="1">
        <f t="shared" si="44"/>
        <v>0.35940170999999999</v>
      </c>
    </row>
    <row r="233" spans="1:343" x14ac:dyDescent="0.2">
      <c r="A233" s="2">
        <v>19.5</v>
      </c>
      <c r="B233" s="7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>
        <f t="shared" si="45"/>
        <v>0</v>
      </c>
      <c r="HK233" s="3">
        <f t="shared" si="45"/>
        <v>0</v>
      </c>
      <c r="HL233" s="3">
        <f t="shared" si="45"/>
        <v>0</v>
      </c>
      <c r="HM233" s="3">
        <f t="shared" si="45"/>
        <v>0</v>
      </c>
      <c r="HN233" s="3">
        <f t="shared" si="45"/>
        <v>0</v>
      </c>
      <c r="HO233" s="3">
        <f t="shared" si="45"/>
        <v>0</v>
      </c>
      <c r="HP233" s="3">
        <f t="shared" si="45"/>
        <v>0</v>
      </c>
      <c r="HQ233" s="3">
        <f t="shared" si="45"/>
        <v>0</v>
      </c>
      <c r="HR233" s="3">
        <f t="shared" si="46"/>
        <v>0</v>
      </c>
      <c r="HS233" s="3">
        <f t="shared" si="46"/>
        <v>0</v>
      </c>
      <c r="HT233" s="3">
        <f t="shared" si="46"/>
        <v>1</v>
      </c>
      <c r="HU233" s="3">
        <f t="shared" si="46"/>
        <v>0</v>
      </c>
      <c r="HV233" s="3">
        <f t="shared" si="46"/>
        <v>0</v>
      </c>
      <c r="HW233" s="3">
        <f t="shared" si="46"/>
        <v>0</v>
      </c>
      <c r="HX233" s="3">
        <f t="shared" si="46"/>
        <v>0</v>
      </c>
      <c r="HY233" s="3">
        <f>HY$338</f>
        <v>0</v>
      </c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8"/>
      <c r="LZ233" s="2">
        <v>0.64059829059829099</v>
      </c>
      <c r="MA233" s="1">
        <f t="shared" si="42"/>
        <v>1</v>
      </c>
      <c r="MB233" s="1">
        <v>0.35940170999999999</v>
      </c>
      <c r="MC233" s="2">
        <v>0</v>
      </c>
      <c r="MD233" s="1">
        <f t="shared" si="43"/>
        <v>0.64059829000000001</v>
      </c>
      <c r="ME233" s="1">
        <f t="shared" si="44"/>
        <v>0.35940170999999999</v>
      </c>
    </row>
    <row r="234" spans="1:343" x14ac:dyDescent="0.2">
      <c r="A234" s="2">
        <v>20</v>
      </c>
      <c r="B234" s="7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>
        <f t="shared" si="45"/>
        <v>0</v>
      </c>
      <c r="HL234" s="3">
        <f t="shared" si="45"/>
        <v>0</v>
      </c>
      <c r="HM234" s="3">
        <f t="shared" si="45"/>
        <v>0</v>
      </c>
      <c r="HN234" s="3">
        <f t="shared" si="45"/>
        <v>0</v>
      </c>
      <c r="HO234" s="3">
        <f t="shared" si="45"/>
        <v>0</v>
      </c>
      <c r="HP234" s="3">
        <f t="shared" si="45"/>
        <v>0</v>
      </c>
      <c r="HQ234" s="3">
        <f t="shared" si="45"/>
        <v>0</v>
      </c>
      <c r="HR234" s="3">
        <f t="shared" si="46"/>
        <v>0</v>
      </c>
      <c r="HS234" s="3">
        <f t="shared" si="46"/>
        <v>0</v>
      </c>
      <c r="HT234" s="3">
        <f t="shared" si="46"/>
        <v>1</v>
      </c>
      <c r="HU234" s="3">
        <f t="shared" si="46"/>
        <v>0</v>
      </c>
      <c r="HV234" s="3">
        <f t="shared" si="46"/>
        <v>0</v>
      </c>
      <c r="HW234" s="3">
        <f t="shared" si="46"/>
        <v>0</v>
      </c>
      <c r="HX234" s="3">
        <f t="shared" si="46"/>
        <v>0</v>
      </c>
      <c r="HY234" s="3">
        <f t="shared" si="46"/>
        <v>0</v>
      </c>
      <c r="HZ234" s="3">
        <f>HZ$338</f>
        <v>0</v>
      </c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8"/>
      <c r="LZ234" s="2">
        <v>0.73128561253561297</v>
      </c>
      <c r="MA234" s="1">
        <f t="shared" si="42"/>
        <v>1</v>
      </c>
      <c r="MB234" s="1">
        <v>0.26871439000000003</v>
      </c>
      <c r="MC234" s="2">
        <v>0</v>
      </c>
      <c r="MD234" s="1">
        <f t="shared" si="43"/>
        <v>0.73128561000000003</v>
      </c>
      <c r="ME234" s="1">
        <f t="shared" si="44"/>
        <v>0.26871439000000003</v>
      </c>
    </row>
    <row r="235" spans="1:343" x14ac:dyDescent="0.2">
      <c r="A235" s="2">
        <v>20.5</v>
      </c>
      <c r="B235" s="7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>
        <f t="shared" si="45"/>
        <v>0</v>
      </c>
      <c r="HM235" s="3">
        <f t="shared" si="45"/>
        <v>0</v>
      </c>
      <c r="HN235" s="3">
        <f t="shared" si="45"/>
        <v>0</v>
      </c>
      <c r="HO235" s="3">
        <f t="shared" si="45"/>
        <v>0</v>
      </c>
      <c r="HP235" s="3">
        <f t="shared" si="45"/>
        <v>0</v>
      </c>
      <c r="HQ235" s="3">
        <f t="shared" si="45"/>
        <v>0</v>
      </c>
      <c r="HR235" s="3">
        <f t="shared" si="46"/>
        <v>0</v>
      </c>
      <c r="HS235" s="3">
        <f t="shared" si="46"/>
        <v>0</v>
      </c>
      <c r="HT235" s="3">
        <f t="shared" si="46"/>
        <v>1</v>
      </c>
      <c r="HU235" s="3">
        <f t="shared" si="46"/>
        <v>0</v>
      </c>
      <c r="HV235" s="3">
        <f t="shared" si="46"/>
        <v>0</v>
      </c>
      <c r="HW235" s="3">
        <f t="shared" si="46"/>
        <v>0</v>
      </c>
      <c r="HX235" s="3">
        <f t="shared" si="46"/>
        <v>0</v>
      </c>
      <c r="HY235" s="3">
        <f t="shared" si="46"/>
        <v>0</v>
      </c>
      <c r="HZ235" s="3">
        <f t="shared" si="46"/>
        <v>0</v>
      </c>
      <c r="IA235" s="3">
        <f>IA$338</f>
        <v>0</v>
      </c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8"/>
      <c r="LZ235" s="2">
        <v>0.73128561253561297</v>
      </c>
      <c r="MA235" s="1">
        <f t="shared" si="42"/>
        <v>1</v>
      </c>
      <c r="MB235" s="1">
        <v>0.26871439000000003</v>
      </c>
      <c r="MC235" s="2">
        <v>0</v>
      </c>
      <c r="MD235" s="1">
        <f t="shared" si="43"/>
        <v>0.73128561000000003</v>
      </c>
      <c r="ME235" s="1">
        <f t="shared" si="44"/>
        <v>0.26871439000000003</v>
      </c>
    </row>
    <row r="236" spans="1:343" x14ac:dyDescent="0.2">
      <c r="A236" s="2">
        <v>21</v>
      </c>
      <c r="B236" s="7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>
        <f t="shared" si="45"/>
        <v>0</v>
      </c>
      <c r="HN236" s="3">
        <f t="shared" si="45"/>
        <v>0</v>
      </c>
      <c r="HO236" s="3">
        <f t="shared" si="45"/>
        <v>0</v>
      </c>
      <c r="HP236" s="3">
        <f t="shared" si="45"/>
        <v>0</v>
      </c>
      <c r="HQ236" s="3">
        <f t="shared" si="45"/>
        <v>0</v>
      </c>
      <c r="HR236" s="3">
        <f t="shared" si="46"/>
        <v>0</v>
      </c>
      <c r="HS236" s="3">
        <f t="shared" si="46"/>
        <v>0</v>
      </c>
      <c r="HT236" s="3">
        <f t="shared" si="46"/>
        <v>1</v>
      </c>
      <c r="HU236" s="3">
        <f t="shared" si="46"/>
        <v>0</v>
      </c>
      <c r="HV236" s="3">
        <f t="shared" si="46"/>
        <v>0</v>
      </c>
      <c r="HW236" s="3">
        <f t="shared" si="46"/>
        <v>0</v>
      </c>
      <c r="HX236" s="3">
        <f t="shared" si="46"/>
        <v>0</v>
      </c>
      <c r="HY236" s="3">
        <f t="shared" si="46"/>
        <v>0</v>
      </c>
      <c r="HZ236" s="3">
        <f t="shared" si="46"/>
        <v>0</v>
      </c>
      <c r="IA236" s="3">
        <f t="shared" si="46"/>
        <v>0</v>
      </c>
      <c r="IB236" s="3">
        <f>IB$338</f>
        <v>0</v>
      </c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8"/>
      <c r="LZ236" s="2">
        <v>0.74804131054131096</v>
      </c>
      <c r="MA236" s="1">
        <f t="shared" si="42"/>
        <v>1</v>
      </c>
      <c r="MB236" s="1">
        <v>0.25195868999999999</v>
      </c>
      <c r="MC236" s="2">
        <v>0</v>
      </c>
      <c r="MD236" s="1">
        <f t="shared" si="43"/>
        <v>0.74804131000000007</v>
      </c>
      <c r="ME236" s="1">
        <f t="shared" si="44"/>
        <v>0.25195868999999999</v>
      </c>
    </row>
    <row r="237" spans="1:343" x14ac:dyDescent="0.2">
      <c r="A237" s="2">
        <v>21.5</v>
      </c>
      <c r="B237" s="7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>
        <f t="shared" si="45"/>
        <v>0</v>
      </c>
      <c r="HO237" s="3">
        <f t="shared" si="45"/>
        <v>0</v>
      </c>
      <c r="HP237" s="3">
        <f t="shared" si="45"/>
        <v>0</v>
      </c>
      <c r="HQ237" s="3">
        <f t="shared" si="45"/>
        <v>0</v>
      </c>
      <c r="HR237" s="3">
        <f t="shared" si="46"/>
        <v>0</v>
      </c>
      <c r="HS237" s="3">
        <f t="shared" si="46"/>
        <v>0</v>
      </c>
      <c r="HT237" s="3">
        <f t="shared" si="46"/>
        <v>1</v>
      </c>
      <c r="HU237" s="3">
        <f t="shared" si="46"/>
        <v>0</v>
      </c>
      <c r="HV237" s="3">
        <f t="shared" si="46"/>
        <v>0</v>
      </c>
      <c r="HW237" s="3">
        <f t="shared" si="46"/>
        <v>0</v>
      </c>
      <c r="HX237" s="3">
        <f t="shared" si="46"/>
        <v>0</v>
      </c>
      <c r="HY237" s="3">
        <f t="shared" si="46"/>
        <v>0</v>
      </c>
      <c r="HZ237" s="3">
        <f t="shared" si="46"/>
        <v>0</v>
      </c>
      <c r="IA237" s="3">
        <f t="shared" si="46"/>
        <v>0</v>
      </c>
      <c r="IB237" s="3">
        <f t="shared" si="46"/>
        <v>0</v>
      </c>
      <c r="IC237" s="3">
        <f>IC$338</f>
        <v>0</v>
      </c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8"/>
      <c r="LZ237" s="2">
        <v>0.74804131054131096</v>
      </c>
      <c r="MA237" s="1">
        <f t="shared" si="42"/>
        <v>1</v>
      </c>
      <c r="MB237" s="1">
        <v>0.25195868999999999</v>
      </c>
      <c r="MC237" s="2">
        <v>0</v>
      </c>
      <c r="MD237" s="1">
        <f t="shared" si="43"/>
        <v>0.74804131000000007</v>
      </c>
      <c r="ME237" s="1">
        <f t="shared" si="44"/>
        <v>0.25195868999999999</v>
      </c>
    </row>
    <row r="238" spans="1:343" x14ac:dyDescent="0.2">
      <c r="A238" s="2">
        <v>22</v>
      </c>
      <c r="B238" s="7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>
        <f t="shared" si="45"/>
        <v>0</v>
      </c>
      <c r="HP238" s="3">
        <f t="shared" si="45"/>
        <v>0</v>
      </c>
      <c r="HQ238" s="3">
        <f t="shared" si="45"/>
        <v>0</v>
      </c>
      <c r="HR238" s="3">
        <f t="shared" si="46"/>
        <v>0</v>
      </c>
      <c r="HS238" s="3">
        <f t="shared" si="46"/>
        <v>0</v>
      </c>
      <c r="HT238" s="3">
        <f t="shared" si="46"/>
        <v>1</v>
      </c>
      <c r="HU238" s="3">
        <f t="shared" si="46"/>
        <v>0</v>
      </c>
      <c r="HV238" s="3">
        <f t="shared" si="46"/>
        <v>0</v>
      </c>
      <c r="HW238" s="3">
        <f t="shared" si="46"/>
        <v>0</v>
      </c>
      <c r="HX238" s="3">
        <f t="shared" si="46"/>
        <v>0</v>
      </c>
      <c r="HY238" s="3">
        <f t="shared" si="46"/>
        <v>0</v>
      </c>
      <c r="HZ238" s="3">
        <f t="shared" si="46"/>
        <v>0</v>
      </c>
      <c r="IA238" s="3">
        <f t="shared" si="46"/>
        <v>0</v>
      </c>
      <c r="IB238" s="3">
        <f t="shared" si="46"/>
        <v>0</v>
      </c>
      <c r="IC238" s="3">
        <f t="shared" si="46"/>
        <v>0</v>
      </c>
      <c r="ID238" s="3">
        <f>ID$338</f>
        <v>0</v>
      </c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8"/>
      <c r="LZ238" s="2">
        <v>0.66912393162393202</v>
      </c>
      <c r="MA238" s="1">
        <f t="shared" si="42"/>
        <v>1</v>
      </c>
      <c r="MB238" s="1">
        <v>0.33087607000000002</v>
      </c>
      <c r="MC238" s="2">
        <v>0</v>
      </c>
      <c r="MD238" s="1">
        <f t="shared" si="43"/>
        <v>0.66912393000000003</v>
      </c>
      <c r="ME238" s="1">
        <f t="shared" si="44"/>
        <v>0.33087607000000002</v>
      </c>
    </row>
    <row r="239" spans="1:343" x14ac:dyDescent="0.2">
      <c r="A239" s="2">
        <v>22.5</v>
      </c>
      <c r="B239" s="7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>
        <f t="shared" si="45"/>
        <v>0</v>
      </c>
      <c r="HQ239" s="3">
        <f t="shared" si="45"/>
        <v>0</v>
      </c>
      <c r="HR239" s="3">
        <f t="shared" si="46"/>
        <v>0</v>
      </c>
      <c r="HS239" s="3">
        <f t="shared" si="46"/>
        <v>0</v>
      </c>
      <c r="HT239" s="3">
        <f t="shared" si="46"/>
        <v>1</v>
      </c>
      <c r="HU239" s="3">
        <f t="shared" si="46"/>
        <v>0</v>
      </c>
      <c r="HV239" s="3">
        <f t="shared" si="46"/>
        <v>0</v>
      </c>
      <c r="HW239" s="3">
        <f t="shared" si="46"/>
        <v>0</v>
      </c>
      <c r="HX239" s="3">
        <f t="shared" si="46"/>
        <v>0</v>
      </c>
      <c r="HY239" s="3">
        <f t="shared" si="46"/>
        <v>0</v>
      </c>
      <c r="HZ239" s="3">
        <f t="shared" si="46"/>
        <v>0</v>
      </c>
      <c r="IA239" s="3">
        <f t="shared" si="46"/>
        <v>0</v>
      </c>
      <c r="IB239" s="3">
        <f t="shared" si="46"/>
        <v>0</v>
      </c>
      <c r="IC239" s="3">
        <f t="shared" si="46"/>
        <v>0</v>
      </c>
      <c r="ID239" s="3">
        <f t="shared" si="46"/>
        <v>0</v>
      </c>
      <c r="IE239" s="3">
        <f>IE$338</f>
        <v>0</v>
      </c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8"/>
      <c r="LZ239" s="2">
        <v>0.66912393162393202</v>
      </c>
      <c r="MA239" s="1">
        <f t="shared" si="42"/>
        <v>1</v>
      </c>
      <c r="MB239" s="1">
        <v>0.33087607000000002</v>
      </c>
      <c r="MC239" s="2">
        <v>0</v>
      </c>
      <c r="MD239" s="1">
        <f t="shared" si="43"/>
        <v>0.66912393000000003</v>
      </c>
      <c r="ME239" s="1">
        <f t="shared" si="44"/>
        <v>0.33087607000000002</v>
      </c>
    </row>
    <row r="240" spans="1:343" x14ac:dyDescent="0.2">
      <c r="A240" s="2">
        <v>23</v>
      </c>
      <c r="B240" s="7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>
        <f t="shared" si="45"/>
        <v>0</v>
      </c>
      <c r="HR240" s="3">
        <f t="shared" si="46"/>
        <v>0</v>
      </c>
      <c r="HS240" s="3">
        <f t="shared" si="46"/>
        <v>0</v>
      </c>
      <c r="HT240" s="3">
        <f t="shared" si="46"/>
        <v>1</v>
      </c>
      <c r="HU240" s="3">
        <f t="shared" si="46"/>
        <v>0</v>
      </c>
      <c r="HV240" s="3">
        <f t="shared" si="46"/>
        <v>0</v>
      </c>
      <c r="HW240" s="3">
        <f t="shared" si="46"/>
        <v>0</v>
      </c>
      <c r="HX240" s="3">
        <f t="shared" si="46"/>
        <v>0</v>
      </c>
      <c r="HY240" s="3">
        <f t="shared" si="46"/>
        <v>0</v>
      </c>
      <c r="HZ240" s="3">
        <f t="shared" si="46"/>
        <v>0</v>
      </c>
      <c r="IA240" s="3">
        <f t="shared" si="46"/>
        <v>0</v>
      </c>
      <c r="IB240" s="3">
        <f t="shared" si="46"/>
        <v>0</v>
      </c>
      <c r="IC240" s="3">
        <f t="shared" si="46"/>
        <v>0</v>
      </c>
      <c r="ID240" s="3">
        <f t="shared" si="46"/>
        <v>0</v>
      </c>
      <c r="IE240" s="3">
        <f t="shared" si="46"/>
        <v>0</v>
      </c>
      <c r="IF240" s="3">
        <f>IF$338</f>
        <v>0</v>
      </c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8"/>
      <c r="LZ240" s="2">
        <v>0.538016381766382</v>
      </c>
      <c r="MA240" s="1">
        <f t="shared" si="42"/>
        <v>1</v>
      </c>
      <c r="MB240" s="1">
        <v>0.46198361999999998</v>
      </c>
      <c r="MC240" s="2">
        <v>0</v>
      </c>
      <c r="MD240" s="1">
        <f t="shared" si="43"/>
        <v>0.53801637999999996</v>
      </c>
      <c r="ME240" s="1">
        <f t="shared" si="44"/>
        <v>0.46198361999999998</v>
      </c>
    </row>
    <row r="241" spans="1:343" x14ac:dyDescent="0.2">
      <c r="A241" s="2">
        <v>23.5</v>
      </c>
      <c r="B241" s="7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>
        <f t="shared" si="46"/>
        <v>0</v>
      </c>
      <c r="HS241" s="3">
        <f t="shared" si="46"/>
        <v>0</v>
      </c>
      <c r="HT241" s="3">
        <f t="shared" si="46"/>
        <v>1</v>
      </c>
      <c r="HU241" s="3">
        <f t="shared" si="46"/>
        <v>0</v>
      </c>
      <c r="HV241" s="3">
        <f t="shared" si="46"/>
        <v>0</v>
      </c>
      <c r="HW241" s="3">
        <f t="shared" si="46"/>
        <v>0</v>
      </c>
      <c r="HX241" s="3">
        <f t="shared" si="46"/>
        <v>0</v>
      </c>
      <c r="HY241" s="3">
        <f t="shared" si="46"/>
        <v>0</v>
      </c>
      <c r="HZ241" s="3">
        <f t="shared" si="46"/>
        <v>0</v>
      </c>
      <c r="IA241" s="3">
        <f t="shared" si="46"/>
        <v>0</v>
      </c>
      <c r="IB241" s="3">
        <f t="shared" si="46"/>
        <v>0</v>
      </c>
      <c r="IC241" s="3">
        <f t="shared" si="46"/>
        <v>0</v>
      </c>
      <c r="ID241" s="3">
        <f t="shared" si="46"/>
        <v>0</v>
      </c>
      <c r="IE241" s="3">
        <f t="shared" si="46"/>
        <v>0</v>
      </c>
      <c r="IF241" s="3">
        <f t="shared" si="46"/>
        <v>0</v>
      </c>
      <c r="IG241" s="3">
        <f>IG$338</f>
        <v>0</v>
      </c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8"/>
      <c r="LZ241" s="2">
        <v>0.538016381766382</v>
      </c>
      <c r="MA241" s="1">
        <f t="shared" si="42"/>
        <v>1</v>
      </c>
      <c r="MB241" s="1">
        <v>0.46198361999999998</v>
      </c>
      <c r="MC241" s="2">
        <v>0</v>
      </c>
      <c r="MD241" s="1">
        <f t="shared" si="43"/>
        <v>0.53801637999999996</v>
      </c>
      <c r="ME241" s="1">
        <f t="shared" si="44"/>
        <v>0.46198361999999998</v>
      </c>
    </row>
    <row r="242" spans="1:343" x14ac:dyDescent="0.2">
      <c r="A242" s="2">
        <v>0</v>
      </c>
      <c r="B242" s="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>
        <f t="shared" si="46"/>
        <v>0</v>
      </c>
      <c r="HT242" s="3">
        <f t="shared" si="46"/>
        <v>1</v>
      </c>
      <c r="HU242" s="3">
        <f t="shared" si="46"/>
        <v>0</v>
      </c>
      <c r="HV242" s="3">
        <f t="shared" si="46"/>
        <v>0</v>
      </c>
      <c r="HW242" s="3">
        <f t="shared" si="46"/>
        <v>0</v>
      </c>
      <c r="HX242" s="3">
        <f t="shared" si="46"/>
        <v>0</v>
      </c>
      <c r="HY242" s="3">
        <f t="shared" si="46"/>
        <v>0</v>
      </c>
      <c r="HZ242" s="3">
        <f t="shared" si="46"/>
        <v>0</v>
      </c>
      <c r="IA242" s="3">
        <f t="shared" si="46"/>
        <v>0</v>
      </c>
      <c r="IB242" s="3">
        <f t="shared" si="46"/>
        <v>0</v>
      </c>
      <c r="IC242" s="3">
        <f t="shared" si="46"/>
        <v>0</v>
      </c>
      <c r="ID242" s="3">
        <f t="shared" si="46"/>
        <v>0</v>
      </c>
      <c r="IE242" s="3">
        <f t="shared" si="46"/>
        <v>0</v>
      </c>
      <c r="IF242" s="3">
        <f t="shared" si="46"/>
        <v>0</v>
      </c>
      <c r="IG242" s="3">
        <f t="shared" si="46"/>
        <v>0</v>
      </c>
      <c r="IH242" s="3">
        <f>IH$338</f>
        <v>0</v>
      </c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8"/>
      <c r="LZ242" s="2">
        <v>0.39629629629629598</v>
      </c>
      <c r="MA242" s="1">
        <f t="shared" si="42"/>
        <v>1</v>
      </c>
      <c r="MB242" s="1">
        <v>0.60370369999999995</v>
      </c>
      <c r="MC242" s="2">
        <v>0</v>
      </c>
      <c r="MD242" s="1">
        <f t="shared" si="43"/>
        <v>0.39629630000000005</v>
      </c>
      <c r="ME242" s="1">
        <f t="shared" si="44"/>
        <v>0.60370369999999995</v>
      </c>
    </row>
    <row r="243" spans="1:343" x14ac:dyDescent="0.2">
      <c r="A243" s="2">
        <v>0.5</v>
      </c>
      <c r="B243" s="7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>
        <f t="shared" si="46"/>
        <v>1</v>
      </c>
      <c r="HU243" s="3">
        <f t="shared" si="46"/>
        <v>0</v>
      </c>
      <c r="HV243" s="3">
        <f t="shared" si="46"/>
        <v>0</v>
      </c>
      <c r="HW243" s="3">
        <f t="shared" si="46"/>
        <v>0</v>
      </c>
      <c r="HX243" s="3">
        <f t="shared" si="46"/>
        <v>0</v>
      </c>
      <c r="HY243" s="3">
        <f t="shared" si="46"/>
        <v>0</v>
      </c>
      <c r="HZ243" s="3">
        <f t="shared" si="46"/>
        <v>0</v>
      </c>
      <c r="IA243" s="3">
        <f t="shared" si="46"/>
        <v>0</v>
      </c>
      <c r="IB243" s="3">
        <f t="shared" si="46"/>
        <v>0</v>
      </c>
      <c r="IC243" s="3">
        <f t="shared" si="46"/>
        <v>0</v>
      </c>
      <c r="ID243" s="3">
        <f t="shared" si="46"/>
        <v>0</v>
      </c>
      <c r="IE243" s="3">
        <f t="shared" si="46"/>
        <v>0</v>
      </c>
      <c r="IF243" s="3">
        <f t="shared" si="46"/>
        <v>0</v>
      </c>
      <c r="IG243" s="3">
        <f t="shared" si="46"/>
        <v>0</v>
      </c>
      <c r="IH243" s="3">
        <f t="shared" si="46"/>
        <v>0</v>
      </c>
      <c r="II243" s="3">
        <f>II$338</f>
        <v>0</v>
      </c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8"/>
      <c r="LZ243" s="2">
        <v>0.39629629629629598</v>
      </c>
      <c r="MA243" s="1">
        <f t="shared" si="42"/>
        <v>1</v>
      </c>
      <c r="MB243" s="1">
        <v>0.60370369999999995</v>
      </c>
      <c r="MC243" s="2">
        <v>0</v>
      </c>
      <c r="MD243" s="1">
        <f t="shared" si="43"/>
        <v>0.39629630000000005</v>
      </c>
      <c r="ME243" s="1">
        <f t="shared" si="44"/>
        <v>0.60370369999999995</v>
      </c>
    </row>
    <row r="244" spans="1:343" x14ac:dyDescent="0.2">
      <c r="A244" s="2">
        <v>1</v>
      </c>
      <c r="B244" s="7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>
        <f t="shared" si="46"/>
        <v>0</v>
      </c>
      <c r="HV244" s="3">
        <f t="shared" si="46"/>
        <v>0</v>
      </c>
      <c r="HW244" s="3">
        <f t="shared" si="46"/>
        <v>0</v>
      </c>
      <c r="HX244" s="3">
        <f t="shared" si="46"/>
        <v>0</v>
      </c>
      <c r="HY244" s="3">
        <f t="shared" si="46"/>
        <v>0</v>
      </c>
      <c r="HZ244" s="3">
        <f t="shared" si="46"/>
        <v>0</v>
      </c>
      <c r="IA244" s="3">
        <f t="shared" si="46"/>
        <v>0</v>
      </c>
      <c r="IB244" s="3">
        <f t="shared" si="46"/>
        <v>0</v>
      </c>
      <c r="IC244" s="3">
        <f t="shared" si="46"/>
        <v>0</v>
      </c>
      <c r="ID244" s="3">
        <f t="shared" si="46"/>
        <v>0</v>
      </c>
      <c r="IE244" s="3">
        <f t="shared" si="46"/>
        <v>0</v>
      </c>
      <c r="IF244" s="3">
        <f t="shared" si="46"/>
        <v>0</v>
      </c>
      <c r="IG244" s="3">
        <f t="shared" si="46"/>
        <v>0</v>
      </c>
      <c r="IH244" s="3">
        <f t="shared" si="46"/>
        <v>0</v>
      </c>
      <c r="II244" s="3">
        <f t="shared" si="46"/>
        <v>0</v>
      </c>
      <c r="IJ244" s="3">
        <f>IJ$338</f>
        <v>0</v>
      </c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8"/>
      <c r="LZ244" s="2">
        <v>0.27150997150997103</v>
      </c>
      <c r="MA244" s="1">
        <f t="shared" si="42"/>
        <v>0</v>
      </c>
      <c r="MB244" s="1">
        <v>0</v>
      </c>
      <c r="MC244" s="2">
        <v>0.27150996999999999</v>
      </c>
      <c r="MD244" s="1">
        <f t="shared" si="43"/>
        <v>0.27150996999999999</v>
      </c>
      <c r="ME244" s="1">
        <f t="shared" si="44"/>
        <v>0.27150996999999999</v>
      </c>
    </row>
    <row r="245" spans="1:343" x14ac:dyDescent="0.2">
      <c r="A245" s="2">
        <v>1.5</v>
      </c>
      <c r="B245" s="7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>
        <f t="shared" si="46"/>
        <v>0</v>
      </c>
      <c r="HW245" s="3">
        <f t="shared" si="46"/>
        <v>0</v>
      </c>
      <c r="HX245" s="3">
        <f t="shared" si="46"/>
        <v>0</v>
      </c>
      <c r="HY245" s="3">
        <f t="shared" si="46"/>
        <v>0</v>
      </c>
      <c r="HZ245" s="3">
        <f t="shared" si="46"/>
        <v>0</v>
      </c>
      <c r="IA245" s="3">
        <f t="shared" si="46"/>
        <v>0</v>
      </c>
      <c r="IB245" s="3">
        <f t="shared" si="46"/>
        <v>0</v>
      </c>
      <c r="IC245" s="3">
        <f t="shared" si="46"/>
        <v>0</v>
      </c>
      <c r="ID245" s="3">
        <f t="shared" si="46"/>
        <v>0</v>
      </c>
      <c r="IE245" s="3">
        <f t="shared" si="46"/>
        <v>0</v>
      </c>
      <c r="IF245" s="3">
        <f t="shared" si="46"/>
        <v>0</v>
      </c>
      <c r="IG245" s="3">
        <f t="shared" si="46"/>
        <v>0</v>
      </c>
      <c r="IH245" s="3">
        <f t="shared" si="46"/>
        <v>0</v>
      </c>
      <c r="II245" s="3">
        <f t="shared" si="46"/>
        <v>0</v>
      </c>
      <c r="IJ245" s="3">
        <f t="shared" si="46"/>
        <v>0</v>
      </c>
      <c r="IK245" s="3">
        <f>IK$338</f>
        <v>0</v>
      </c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8"/>
      <c r="LZ245" s="2">
        <v>0.27150997150997103</v>
      </c>
      <c r="MA245" s="1">
        <f t="shared" si="42"/>
        <v>0</v>
      </c>
      <c r="MB245" s="1">
        <v>0</v>
      </c>
      <c r="MC245" s="2">
        <v>0.27150996999999999</v>
      </c>
      <c r="MD245" s="1">
        <f t="shared" si="43"/>
        <v>0.27150996999999999</v>
      </c>
      <c r="ME245" s="1">
        <f t="shared" si="44"/>
        <v>0.27150996999999999</v>
      </c>
    </row>
    <row r="246" spans="1:343" x14ac:dyDescent="0.2">
      <c r="A246" s="2">
        <v>2</v>
      </c>
      <c r="B246" s="7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>
        <f t="shared" si="46"/>
        <v>0</v>
      </c>
      <c r="HX246" s="3">
        <f t="shared" si="46"/>
        <v>0</v>
      </c>
      <c r="HY246" s="3">
        <f t="shared" si="46"/>
        <v>0</v>
      </c>
      <c r="HZ246" s="3">
        <f t="shared" si="46"/>
        <v>0</v>
      </c>
      <c r="IA246" s="3">
        <f t="shared" si="46"/>
        <v>0</v>
      </c>
      <c r="IB246" s="3">
        <f t="shared" si="46"/>
        <v>0</v>
      </c>
      <c r="IC246" s="3">
        <f t="shared" si="46"/>
        <v>0</v>
      </c>
      <c r="ID246" s="3">
        <f t="shared" si="46"/>
        <v>0</v>
      </c>
      <c r="IE246" s="3">
        <f t="shared" si="46"/>
        <v>0</v>
      </c>
      <c r="IF246" s="3">
        <f t="shared" si="46"/>
        <v>0</v>
      </c>
      <c r="IG246" s="3">
        <f t="shared" si="46"/>
        <v>0</v>
      </c>
      <c r="IH246" s="3">
        <f t="shared" si="46"/>
        <v>0</v>
      </c>
      <c r="II246" s="3">
        <f t="shared" si="46"/>
        <v>0</v>
      </c>
      <c r="IJ246" s="3">
        <f t="shared" si="46"/>
        <v>0</v>
      </c>
      <c r="IK246" s="3">
        <f t="shared" si="46"/>
        <v>0</v>
      </c>
      <c r="IL246" s="3">
        <f>IL$338</f>
        <v>0</v>
      </c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8"/>
      <c r="LZ246" s="2">
        <v>0.203240740740741</v>
      </c>
      <c r="MA246" s="1">
        <f t="shared" si="42"/>
        <v>0</v>
      </c>
      <c r="MB246" s="1">
        <v>0</v>
      </c>
      <c r="MC246" s="2">
        <v>0.20324074</v>
      </c>
      <c r="MD246" s="1">
        <f t="shared" si="43"/>
        <v>0.20324074</v>
      </c>
      <c r="ME246" s="1">
        <f t="shared" si="44"/>
        <v>0.20324074</v>
      </c>
    </row>
    <row r="247" spans="1:343" x14ac:dyDescent="0.2">
      <c r="A247" s="2">
        <v>2.5</v>
      </c>
      <c r="B247" s="7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>
        <f t="shared" si="46"/>
        <v>0</v>
      </c>
      <c r="HY247" s="3">
        <f t="shared" si="46"/>
        <v>0</v>
      </c>
      <c r="HZ247" s="3">
        <f t="shared" si="46"/>
        <v>0</v>
      </c>
      <c r="IA247" s="3">
        <f t="shared" si="46"/>
        <v>0</v>
      </c>
      <c r="IB247" s="3">
        <f t="shared" si="46"/>
        <v>0</v>
      </c>
      <c r="IC247" s="3">
        <f t="shared" si="46"/>
        <v>0</v>
      </c>
      <c r="ID247" s="3">
        <f t="shared" si="46"/>
        <v>0</v>
      </c>
      <c r="IE247" s="3">
        <f t="shared" si="46"/>
        <v>0</v>
      </c>
      <c r="IF247" s="3">
        <f t="shared" si="46"/>
        <v>0</v>
      </c>
      <c r="IG247" s="3">
        <f t="shared" si="46"/>
        <v>0</v>
      </c>
      <c r="IH247" s="3">
        <f t="shared" si="46"/>
        <v>0</v>
      </c>
      <c r="II247" s="3">
        <f t="shared" si="46"/>
        <v>0</v>
      </c>
      <c r="IJ247" s="3">
        <f t="shared" si="46"/>
        <v>0</v>
      </c>
      <c r="IK247" s="3">
        <f t="shared" si="46"/>
        <v>0</v>
      </c>
      <c r="IL247" s="3">
        <f t="shared" si="46"/>
        <v>0</v>
      </c>
      <c r="IM247" s="3">
        <f>IM$338</f>
        <v>0</v>
      </c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8"/>
      <c r="LZ247" s="2">
        <v>0.203240740740741</v>
      </c>
      <c r="MA247" s="1">
        <f t="shared" si="42"/>
        <v>0</v>
      </c>
      <c r="MB247" s="1">
        <v>0</v>
      </c>
      <c r="MC247" s="2">
        <v>0.20324074</v>
      </c>
      <c r="MD247" s="1">
        <f t="shared" si="43"/>
        <v>0.20324074</v>
      </c>
      <c r="ME247" s="1">
        <f t="shared" si="44"/>
        <v>0.20324074</v>
      </c>
    </row>
    <row r="248" spans="1:343" x14ac:dyDescent="0.2">
      <c r="A248" s="2">
        <v>3</v>
      </c>
      <c r="B248" s="7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>
        <f t="shared" si="46"/>
        <v>0</v>
      </c>
      <c r="HZ248" s="3">
        <f t="shared" si="46"/>
        <v>0</v>
      </c>
      <c r="IA248" s="3">
        <f t="shared" si="46"/>
        <v>0</v>
      </c>
      <c r="IB248" s="3">
        <f t="shared" si="46"/>
        <v>0</v>
      </c>
      <c r="IC248" s="3">
        <f t="shared" si="46"/>
        <v>0</v>
      </c>
      <c r="ID248" s="3">
        <f t="shared" si="46"/>
        <v>0</v>
      </c>
      <c r="IE248" s="3">
        <f t="shared" si="46"/>
        <v>0</v>
      </c>
      <c r="IF248" s="3">
        <f t="shared" si="46"/>
        <v>0</v>
      </c>
      <c r="IG248" s="3">
        <f t="shared" si="46"/>
        <v>0</v>
      </c>
      <c r="IH248" s="3">
        <f t="shared" si="46"/>
        <v>0</v>
      </c>
      <c r="II248" s="3">
        <f t="shared" si="46"/>
        <v>0</v>
      </c>
      <c r="IJ248" s="3">
        <f t="shared" si="46"/>
        <v>0</v>
      </c>
      <c r="IK248" s="3">
        <f t="shared" si="46"/>
        <v>0</v>
      </c>
      <c r="IL248" s="3">
        <f t="shared" si="46"/>
        <v>0</v>
      </c>
      <c r="IM248" s="3">
        <f t="shared" si="46"/>
        <v>0</v>
      </c>
      <c r="IN248" s="3">
        <f>IN$338</f>
        <v>0</v>
      </c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8"/>
      <c r="LZ248" s="2">
        <v>0.140562678062678</v>
      </c>
      <c r="MA248" s="1">
        <f t="shared" si="42"/>
        <v>0</v>
      </c>
      <c r="MB248" s="1">
        <v>0</v>
      </c>
      <c r="MC248" s="2">
        <v>0.14056268</v>
      </c>
      <c r="MD248" s="1">
        <f t="shared" si="43"/>
        <v>0.14056268</v>
      </c>
      <c r="ME248" s="1">
        <f t="shared" si="44"/>
        <v>0.14056268</v>
      </c>
    </row>
    <row r="249" spans="1:343" x14ac:dyDescent="0.2">
      <c r="A249" s="2">
        <v>3.5</v>
      </c>
      <c r="B249" s="7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>
        <f t="shared" si="46"/>
        <v>0</v>
      </c>
      <c r="IA249" s="3">
        <f t="shared" si="46"/>
        <v>0</v>
      </c>
      <c r="IB249" s="3">
        <f t="shared" si="46"/>
        <v>0</v>
      </c>
      <c r="IC249" s="3">
        <f t="shared" si="46"/>
        <v>0</v>
      </c>
      <c r="ID249" s="3">
        <f t="shared" si="46"/>
        <v>0</v>
      </c>
      <c r="IE249" s="3">
        <f t="shared" si="46"/>
        <v>0</v>
      </c>
      <c r="IF249" s="3">
        <f t="shared" si="46"/>
        <v>0</v>
      </c>
      <c r="IG249" s="3">
        <f t="shared" si="46"/>
        <v>0</v>
      </c>
      <c r="IH249" s="3">
        <f t="shared" si="46"/>
        <v>0</v>
      </c>
      <c r="II249" s="3">
        <f t="shared" si="46"/>
        <v>0</v>
      </c>
      <c r="IJ249" s="3">
        <f t="shared" si="46"/>
        <v>0</v>
      </c>
      <c r="IK249" s="3">
        <f t="shared" si="46"/>
        <v>0</v>
      </c>
      <c r="IL249" s="3">
        <f t="shared" si="46"/>
        <v>0</v>
      </c>
      <c r="IM249" s="3">
        <f t="shared" si="46"/>
        <v>0</v>
      </c>
      <c r="IN249" s="3">
        <f t="shared" si="46"/>
        <v>0</v>
      </c>
      <c r="IO249" s="3">
        <f>IO$338</f>
        <v>0</v>
      </c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8"/>
      <c r="LZ249" s="2">
        <v>0.140562678062678</v>
      </c>
      <c r="MA249" s="1">
        <f t="shared" si="42"/>
        <v>0</v>
      </c>
      <c r="MB249" s="1">
        <v>0</v>
      </c>
      <c r="MC249" s="2">
        <v>0.14056268</v>
      </c>
      <c r="MD249" s="1">
        <f t="shared" si="43"/>
        <v>0.14056268</v>
      </c>
      <c r="ME249" s="1">
        <f t="shared" si="44"/>
        <v>0.14056268</v>
      </c>
    </row>
    <row r="250" spans="1:343" x14ac:dyDescent="0.2">
      <c r="A250" s="2">
        <v>4</v>
      </c>
      <c r="B250" s="7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>
        <f t="shared" si="46"/>
        <v>0</v>
      </c>
      <c r="IB250" s="3">
        <f t="shared" si="46"/>
        <v>0</v>
      </c>
      <c r="IC250" s="3">
        <f t="shared" si="46"/>
        <v>0</v>
      </c>
      <c r="ID250" s="3">
        <f t="shared" si="46"/>
        <v>0</v>
      </c>
      <c r="IE250" s="3">
        <f t="shared" si="46"/>
        <v>0</v>
      </c>
      <c r="IF250" s="3">
        <f t="shared" si="46"/>
        <v>0</v>
      </c>
      <c r="IG250" s="3">
        <f t="shared" si="46"/>
        <v>0</v>
      </c>
      <c r="IH250" s="3">
        <f t="shared" si="46"/>
        <v>0</v>
      </c>
      <c r="II250" s="3">
        <f t="shared" si="46"/>
        <v>0</v>
      </c>
      <c r="IJ250" s="3">
        <f t="shared" si="46"/>
        <v>0</v>
      </c>
      <c r="IK250" s="3">
        <f t="shared" si="46"/>
        <v>0</v>
      </c>
      <c r="IL250" s="3">
        <f t="shared" si="46"/>
        <v>0</v>
      </c>
      <c r="IM250" s="3">
        <f t="shared" si="46"/>
        <v>0</v>
      </c>
      <c r="IN250" s="3">
        <f t="shared" si="46"/>
        <v>0</v>
      </c>
      <c r="IO250" s="3">
        <f t="shared" si="46"/>
        <v>0</v>
      </c>
      <c r="IP250" s="3">
        <f>IP$338</f>
        <v>0</v>
      </c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8"/>
      <c r="LZ250" s="2">
        <v>0.110950854700855</v>
      </c>
      <c r="MA250" s="1">
        <f t="shared" si="42"/>
        <v>0</v>
      </c>
      <c r="MB250" s="1">
        <v>0</v>
      </c>
      <c r="MC250" s="2">
        <v>0.11095085</v>
      </c>
      <c r="MD250" s="1">
        <f t="shared" si="43"/>
        <v>0.11095085</v>
      </c>
      <c r="ME250" s="1">
        <f t="shared" si="44"/>
        <v>0.11095085</v>
      </c>
    </row>
    <row r="251" spans="1:343" x14ac:dyDescent="0.2">
      <c r="A251" s="2">
        <v>4.5</v>
      </c>
      <c r="B251" s="7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>
        <f t="shared" ref="IB251:IW272" si="47">IB$338</f>
        <v>0</v>
      </c>
      <c r="IC251" s="3">
        <f t="shared" si="47"/>
        <v>0</v>
      </c>
      <c r="ID251" s="3">
        <f t="shared" si="47"/>
        <v>0</v>
      </c>
      <c r="IE251" s="3">
        <f t="shared" si="47"/>
        <v>0</v>
      </c>
      <c r="IF251" s="3">
        <f t="shared" si="47"/>
        <v>0</v>
      </c>
      <c r="IG251" s="3">
        <f t="shared" si="47"/>
        <v>0</v>
      </c>
      <c r="IH251" s="3">
        <f t="shared" si="47"/>
        <v>0</v>
      </c>
      <c r="II251" s="3">
        <f t="shared" si="47"/>
        <v>0</v>
      </c>
      <c r="IJ251" s="3">
        <f t="shared" si="47"/>
        <v>0</v>
      </c>
      <c r="IK251" s="3">
        <f t="shared" si="47"/>
        <v>0</v>
      </c>
      <c r="IL251" s="3">
        <f t="shared" si="47"/>
        <v>0</v>
      </c>
      <c r="IM251" s="3">
        <f t="shared" si="47"/>
        <v>0</v>
      </c>
      <c r="IN251" s="3">
        <f t="shared" si="47"/>
        <v>0</v>
      </c>
      <c r="IO251" s="3">
        <f t="shared" si="47"/>
        <v>0</v>
      </c>
      <c r="IP251" s="3">
        <f t="shared" si="47"/>
        <v>0</v>
      </c>
      <c r="IQ251" s="3">
        <f>IQ$338</f>
        <v>0</v>
      </c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8"/>
      <c r="LZ251" s="2">
        <v>0.110950854700855</v>
      </c>
      <c r="MA251" s="1">
        <f t="shared" si="42"/>
        <v>0</v>
      </c>
      <c r="MB251" s="1">
        <v>0</v>
      </c>
      <c r="MC251" s="2">
        <v>0.11095085</v>
      </c>
      <c r="MD251" s="1">
        <f t="shared" si="43"/>
        <v>0.11095085</v>
      </c>
      <c r="ME251" s="1">
        <f t="shared" si="44"/>
        <v>0.11095085</v>
      </c>
    </row>
    <row r="252" spans="1:343" x14ac:dyDescent="0.2">
      <c r="A252" s="2">
        <v>5</v>
      </c>
      <c r="B252" s="7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>
        <f t="shared" si="47"/>
        <v>0</v>
      </c>
      <c r="ID252" s="3">
        <f t="shared" si="47"/>
        <v>0</v>
      </c>
      <c r="IE252" s="3">
        <f t="shared" si="47"/>
        <v>0</v>
      </c>
      <c r="IF252" s="3">
        <f t="shared" si="47"/>
        <v>0</v>
      </c>
      <c r="IG252" s="3">
        <f t="shared" si="47"/>
        <v>0</v>
      </c>
      <c r="IH252" s="3">
        <f t="shared" si="47"/>
        <v>0</v>
      </c>
      <c r="II252" s="3">
        <f t="shared" si="47"/>
        <v>0</v>
      </c>
      <c r="IJ252" s="3">
        <f t="shared" si="47"/>
        <v>0</v>
      </c>
      <c r="IK252" s="3">
        <f t="shared" si="47"/>
        <v>0</v>
      </c>
      <c r="IL252" s="3">
        <f t="shared" si="47"/>
        <v>0</v>
      </c>
      <c r="IM252" s="3">
        <f t="shared" si="47"/>
        <v>0</v>
      </c>
      <c r="IN252" s="3">
        <f t="shared" si="47"/>
        <v>0</v>
      </c>
      <c r="IO252" s="3">
        <f t="shared" si="47"/>
        <v>0</v>
      </c>
      <c r="IP252" s="3">
        <f t="shared" si="47"/>
        <v>0</v>
      </c>
      <c r="IQ252" s="3">
        <f t="shared" si="47"/>
        <v>0</v>
      </c>
      <c r="IR252" s="3">
        <f>IR$338</f>
        <v>0</v>
      </c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8"/>
      <c r="LZ252" s="2">
        <v>9.9448005698005701E-2</v>
      </c>
      <c r="MA252" s="1">
        <f t="shared" si="42"/>
        <v>0</v>
      </c>
      <c r="MB252" s="1">
        <v>0</v>
      </c>
      <c r="MC252" s="2">
        <v>9.9448006000000005E-2</v>
      </c>
      <c r="MD252" s="1">
        <f t="shared" si="43"/>
        <v>9.9448006000000005E-2</v>
      </c>
      <c r="ME252" s="1">
        <f t="shared" si="44"/>
        <v>9.9448006000000005E-2</v>
      </c>
    </row>
    <row r="253" spans="1:343" x14ac:dyDescent="0.2">
      <c r="A253" s="2">
        <v>5.5</v>
      </c>
      <c r="B253" s="7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>
        <f t="shared" si="47"/>
        <v>0</v>
      </c>
      <c r="IE253" s="3">
        <f t="shared" si="47"/>
        <v>0</v>
      </c>
      <c r="IF253" s="3">
        <f t="shared" si="47"/>
        <v>0</v>
      </c>
      <c r="IG253" s="3">
        <f t="shared" si="47"/>
        <v>0</v>
      </c>
      <c r="IH253" s="3">
        <f t="shared" si="47"/>
        <v>0</v>
      </c>
      <c r="II253" s="3">
        <f t="shared" si="47"/>
        <v>0</v>
      </c>
      <c r="IJ253" s="3">
        <f t="shared" si="47"/>
        <v>0</v>
      </c>
      <c r="IK253" s="3">
        <f t="shared" si="47"/>
        <v>0</v>
      </c>
      <c r="IL253" s="3">
        <f t="shared" si="47"/>
        <v>0</v>
      </c>
      <c r="IM253" s="3">
        <f t="shared" si="47"/>
        <v>0</v>
      </c>
      <c r="IN253" s="3">
        <f t="shared" si="47"/>
        <v>0</v>
      </c>
      <c r="IO253" s="3">
        <f t="shared" si="47"/>
        <v>0</v>
      </c>
      <c r="IP253" s="3">
        <f t="shared" si="47"/>
        <v>0</v>
      </c>
      <c r="IQ253" s="3">
        <f t="shared" si="47"/>
        <v>0</v>
      </c>
      <c r="IR253" s="3">
        <f t="shared" si="47"/>
        <v>0</v>
      </c>
      <c r="IS253" s="3">
        <f>IS$338</f>
        <v>0</v>
      </c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8"/>
      <c r="LZ253" s="2">
        <v>9.9448005698005701E-2</v>
      </c>
      <c r="MA253" s="1">
        <f t="shared" si="42"/>
        <v>0</v>
      </c>
      <c r="MB253" s="1">
        <v>0</v>
      </c>
      <c r="MC253" s="2">
        <v>9.9448006000000005E-2</v>
      </c>
      <c r="MD253" s="1">
        <f t="shared" si="43"/>
        <v>9.9448006000000005E-2</v>
      </c>
      <c r="ME253" s="1">
        <f t="shared" si="44"/>
        <v>9.9448006000000005E-2</v>
      </c>
    </row>
    <row r="254" spans="1:343" x14ac:dyDescent="0.2">
      <c r="A254" s="2">
        <v>6</v>
      </c>
      <c r="B254" s="7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>
        <f t="shared" si="47"/>
        <v>0</v>
      </c>
      <c r="IF254" s="3">
        <f t="shared" si="47"/>
        <v>0</v>
      </c>
      <c r="IG254" s="3">
        <f t="shared" si="47"/>
        <v>0</v>
      </c>
      <c r="IH254" s="3">
        <f t="shared" si="47"/>
        <v>0</v>
      </c>
      <c r="II254" s="3">
        <f t="shared" si="47"/>
        <v>0</v>
      </c>
      <c r="IJ254" s="3">
        <f t="shared" si="47"/>
        <v>0</v>
      </c>
      <c r="IK254" s="3">
        <f t="shared" si="47"/>
        <v>0</v>
      </c>
      <c r="IL254" s="3">
        <f t="shared" si="47"/>
        <v>0</v>
      </c>
      <c r="IM254" s="3">
        <f t="shared" si="47"/>
        <v>0</v>
      </c>
      <c r="IN254" s="3">
        <f t="shared" si="47"/>
        <v>0</v>
      </c>
      <c r="IO254" s="3">
        <f t="shared" si="47"/>
        <v>0</v>
      </c>
      <c r="IP254" s="3">
        <f t="shared" si="47"/>
        <v>0</v>
      </c>
      <c r="IQ254" s="3">
        <f t="shared" si="47"/>
        <v>0</v>
      </c>
      <c r="IR254" s="3">
        <f t="shared" si="47"/>
        <v>0</v>
      </c>
      <c r="IS254" s="3">
        <f t="shared" si="47"/>
        <v>0</v>
      </c>
      <c r="IT254" s="3">
        <f>IT$338</f>
        <v>0</v>
      </c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8"/>
      <c r="LZ254" s="2">
        <v>9.0081908831908794E-2</v>
      </c>
      <c r="MA254" s="1">
        <f t="shared" si="42"/>
        <v>0</v>
      </c>
      <c r="MB254" s="1">
        <v>0</v>
      </c>
      <c r="MC254" s="2">
        <v>9.0081909000000002E-2</v>
      </c>
      <c r="MD254" s="1">
        <f t="shared" si="43"/>
        <v>9.0081909000000002E-2</v>
      </c>
      <c r="ME254" s="1">
        <f t="shared" si="44"/>
        <v>9.0081909000000002E-2</v>
      </c>
    </row>
    <row r="255" spans="1:343" x14ac:dyDescent="0.2">
      <c r="A255" s="2">
        <v>6.5</v>
      </c>
      <c r="B255" s="7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>
        <f t="shared" si="47"/>
        <v>0</v>
      </c>
      <c r="IG255" s="3">
        <f t="shared" si="47"/>
        <v>0</v>
      </c>
      <c r="IH255" s="3">
        <f t="shared" si="47"/>
        <v>0</v>
      </c>
      <c r="II255" s="3">
        <f t="shared" si="47"/>
        <v>0</v>
      </c>
      <c r="IJ255" s="3">
        <f t="shared" si="47"/>
        <v>0</v>
      </c>
      <c r="IK255" s="3">
        <f t="shared" si="47"/>
        <v>0</v>
      </c>
      <c r="IL255" s="3">
        <f t="shared" si="47"/>
        <v>0</v>
      </c>
      <c r="IM255" s="3">
        <f t="shared" si="47"/>
        <v>0</v>
      </c>
      <c r="IN255" s="3">
        <f t="shared" si="47"/>
        <v>0</v>
      </c>
      <c r="IO255" s="3">
        <f t="shared" si="47"/>
        <v>0</v>
      </c>
      <c r="IP255" s="3">
        <f t="shared" si="47"/>
        <v>0</v>
      </c>
      <c r="IQ255" s="3">
        <f t="shared" si="47"/>
        <v>0</v>
      </c>
      <c r="IR255" s="3">
        <f t="shared" si="47"/>
        <v>0</v>
      </c>
      <c r="IS255" s="3">
        <f t="shared" si="47"/>
        <v>0</v>
      </c>
      <c r="IT255" s="3">
        <f t="shared" si="47"/>
        <v>0</v>
      </c>
      <c r="IU255" s="3">
        <f>IU$338</f>
        <v>0</v>
      </c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8"/>
      <c r="LZ255" s="2">
        <v>9.0081908831908794E-2</v>
      </c>
      <c r="MA255" s="1">
        <f t="shared" si="42"/>
        <v>0</v>
      </c>
      <c r="MB255" s="1">
        <v>0</v>
      </c>
      <c r="MC255" s="2">
        <v>9.0081909000000002E-2</v>
      </c>
      <c r="MD255" s="1">
        <f t="shared" si="43"/>
        <v>9.0081909000000002E-2</v>
      </c>
      <c r="ME255" s="1">
        <f t="shared" si="44"/>
        <v>9.0081909000000002E-2</v>
      </c>
    </row>
    <row r="256" spans="1:343" x14ac:dyDescent="0.2">
      <c r="A256" s="2">
        <v>7</v>
      </c>
      <c r="B256" s="7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>
        <f t="shared" si="47"/>
        <v>0</v>
      </c>
      <c r="IH256" s="3">
        <f t="shared" si="47"/>
        <v>0</v>
      </c>
      <c r="II256" s="3">
        <f t="shared" si="47"/>
        <v>0</v>
      </c>
      <c r="IJ256" s="3">
        <f t="shared" si="47"/>
        <v>0</v>
      </c>
      <c r="IK256" s="3">
        <f t="shared" si="47"/>
        <v>0</v>
      </c>
      <c r="IL256" s="3">
        <f t="shared" si="47"/>
        <v>0</v>
      </c>
      <c r="IM256" s="3">
        <f t="shared" si="47"/>
        <v>0</v>
      </c>
      <c r="IN256" s="3">
        <f t="shared" si="47"/>
        <v>0</v>
      </c>
      <c r="IO256" s="3">
        <f t="shared" si="47"/>
        <v>0</v>
      </c>
      <c r="IP256" s="3">
        <f t="shared" si="47"/>
        <v>0</v>
      </c>
      <c r="IQ256" s="3">
        <f t="shared" si="47"/>
        <v>0</v>
      </c>
      <c r="IR256" s="3">
        <f t="shared" si="47"/>
        <v>0</v>
      </c>
      <c r="IS256" s="3">
        <f t="shared" si="47"/>
        <v>0</v>
      </c>
      <c r="IT256" s="3">
        <f t="shared" si="47"/>
        <v>0</v>
      </c>
      <c r="IU256" s="3">
        <f t="shared" si="47"/>
        <v>0</v>
      </c>
      <c r="IV256" s="3">
        <f>IV$338</f>
        <v>0</v>
      </c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8"/>
      <c r="LZ256" s="2">
        <v>8.9743589743589702E-2</v>
      </c>
      <c r="MA256" s="1">
        <f t="shared" si="42"/>
        <v>0</v>
      </c>
      <c r="MB256" s="1">
        <v>0</v>
      </c>
      <c r="MC256" s="2">
        <v>8.9743589999999998E-2</v>
      </c>
      <c r="MD256" s="1">
        <f t="shared" si="43"/>
        <v>8.9743589999999998E-2</v>
      </c>
      <c r="ME256" s="1">
        <f t="shared" si="44"/>
        <v>8.9743589999999998E-2</v>
      </c>
    </row>
    <row r="257" spans="1:343" x14ac:dyDescent="0.2">
      <c r="A257" s="2">
        <v>7.5</v>
      </c>
      <c r="B257" s="7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>
        <f t="shared" si="47"/>
        <v>0</v>
      </c>
      <c r="II257" s="3">
        <f t="shared" si="47"/>
        <v>0</v>
      </c>
      <c r="IJ257" s="3">
        <f t="shared" si="47"/>
        <v>0</v>
      </c>
      <c r="IK257" s="3">
        <f t="shared" si="47"/>
        <v>0</v>
      </c>
      <c r="IL257" s="3">
        <f t="shared" si="47"/>
        <v>0</v>
      </c>
      <c r="IM257" s="3">
        <f t="shared" si="47"/>
        <v>0</v>
      </c>
      <c r="IN257" s="3">
        <f t="shared" si="47"/>
        <v>0</v>
      </c>
      <c r="IO257" s="3">
        <f t="shared" si="47"/>
        <v>0</v>
      </c>
      <c r="IP257" s="3">
        <f t="shared" si="47"/>
        <v>0</v>
      </c>
      <c r="IQ257" s="3">
        <f t="shared" si="47"/>
        <v>0</v>
      </c>
      <c r="IR257" s="3">
        <f t="shared" si="47"/>
        <v>0</v>
      </c>
      <c r="IS257" s="3">
        <f t="shared" si="47"/>
        <v>0</v>
      </c>
      <c r="IT257" s="3">
        <f t="shared" si="47"/>
        <v>0</v>
      </c>
      <c r="IU257" s="3">
        <f t="shared" si="47"/>
        <v>0</v>
      </c>
      <c r="IV257" s="3">
        <f t="shared" si="47"/>
        <v>0</v>
      </c>
      <c r="IW257" s="3">
        <f>IW$338</f>
        <v>0</v>
      </c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8"/>
      <c r="LZ257" s="2">
        <v>8.9743589743589702E-2</v>
      </c>
      <c r="MA257" s="1">
        <f t="shared" si="42"/>
        <v>0</v>
      </c>
      <c r="MB257" s="1">
        <v>0</v>
      </c>
      <c r="MC257" s="2">
        <v>8.9743589999999998E-2</v>
      </c>
      <c r="MD257" s="1">
        <f t="shared" si="43"/>
        <v>8.9743589999999998E-2</v>
      </c>
      <c r="ME257" s="1">
        <f t="shared" si="44"/>
        <v>8.9743589999999998E-2</v>
      </c>
    </row>
    <row r="258" spans="1:343" x14ac:dyDescent="0.2">
      <c r="A258" s="2">
        <v>8</v>
      </c>
      <c r="B258" s="7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>
        <f t="shared" si="47"/>
        <v>0</v>
      </c>
      <c r="IJ258" s="3">
        <f t="shared" si="47"/>
        <v>0</v>
      </c>
      <c r="IK258" s="3">
        <f t="shared" si="47"/>
        <v>0</v>
      </c>
      <c r="IL258" s="3">
        <f t="shared" si="47"/>
        <v>0</v>
      </c>
      <c r="IM258" s="3">
        <f t="shared" si="47"/>
        <v>0</v>
      </c>
      <c r="IN258" s="3">
        <f t="shared" si="47"/>
        <v>0</v>
      </c>
      <c r="IO258" s="3">
        <f t="shared" si="47"/>
        <v>0</v>
      </c>
      <c r="IP258" s="3">
        <f t="shared" si="47"/>
        <v>0</v>
      </c>
      <c r="IQ258" s="3">
        <f t="shared" si="47"/>
        <v>0</v>
      </c>
      <c r="IR258" s="3">
        <f t="shared" si="47"/>
        <v>0</v>
      </c>
      <c r="IS258" s="3">
        <f t="shared" si="47"/>
        <v>0</v>
      </c>
      <c r="IT258" s="3">
        <f t="shared" si="47"/>
        <v>0</v>
      </c>
      <c r="IU258" s="3">
        <f t="shared" si="47"/>
        <v>0</v>
      </c>
      <c r="IV258" s="3">
        <f t="shared" si="47"/>
        <v>0</v>
      </c>
      <c r="IW258" s="3">
        <f t="shared" si="47"/>
        <v>0</v>
      </c>
      <c r="IX258" s="3">
        <f>IX$338</f>
        <v>0</v>
      </c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8"/>
      <c r="LZ258" s="2">
        <v>0.118500712250712</v>
      </c>
      <c r="MA258" s="1">
        <f t="shared" si="42"/>
        <v>0</v>
      </c>
      <c r="MB258" s="1">
        <v>0</v>
      </c>
      <c r="MC258" s="2">
        <v>0.11850071</v>
      </c>
      <c r="MD258" s="1">
        <f t="shared" si="43"/>
        <v>0.11850071</v>
      </c>
      <c r="ME258" s="1">
        <f t="shared" si="44"/>
        <v>0.11850071</v>
      </c>
    </row>
    <row r="259" spans="1:343" x14ac:dyDescent="0.2">
      <c r="A259" s="2">
        <v>8.5</v>
      </c>
      <c r="B259" s="7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>
        <f t="shared" si="47"/>
        <v>0</v>
      </c>
      <c r="IK259" s="3">
        <f t="shared" si="47"/>
        <v>0</v>
      </c>
      <c r="IL259" s="3">
        <f t="shared" si="47"/>
        <v>0</v>
      </c>
      <c r="IM259" s="3">
        <f t="shared" si="47"/>
        <v>0</v>
      </c>
      <c r="IN259" s="3">
        <f t="shared" si="47"/>
        <v>0</v>
      </c>
      <c r="IO259" s="3">
        <f t="shared" si="47"/>
        <v>0</v>
      </c>
      <c r="IP259" s="3">
        <f t="shared" si="47"/>
        <v>0</v>
      </c>
      <c r="IQ259" s="3">
        <f t="shared" si="47"/>
        <v>0</v>
      </c>
      <c r="IR259" s="3">
        <f t="shared" si="47"/>
        <v>0</v>
      </c>
      <c r="IS259" s="3">
        <f t="shared" si="47"/>
        <v>0</v>
      </c>
      <c r="IT259" s="3">
        <f t="shared" si="47"/>
        <v>0</v>
      </c>
      <c r="IU259" s="3">
        <f t="shared" si="47"/>
        <v>0</v>
      </c>
      <c r="IV259" s="3">
        <f t="shared" si="47"/>
        <v>0</v>
      </c>
      <c r="IW259" s="3">
        <f t="shared" si="47"/>
        <v>0</v>
      </c>
      <c r="IX259" s="3">
        <f t="shared" ref="IX259:JU282" si="48">IX$338</f>
        <v>0</v>
      </c>
      <c r="IY259" s="3">
        <f>IY$338</f>
        <v>0</v>
      </c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8"/>
      <c r="LZ259" s="2">
        <v>0.118500712250712</v>
      </c>
      <c r="MA259" s="1">
        <f t="shared" ref="MA259:MA322" si="49">SUM(B259:LY259)</f>
        <v>0</v>
      </c>
      <c r="MB259" s="1">
        <v>0</v>
      </c>
      <c r="MC259" s="2">
        <v>0.11850071</v>
      </c>
      <c r="MD259" s="1">
        <f t="shared" ref="MD259:MD322" si="50">MC259-MB259+MA259</f>
        <v>0.11850071</v>
      </c>
      <c r="ME259" s="1">
        <f t="shared" ref="ME259:ME322" si="51">MC259+MB259</f>
        <v>0.11850071</v>
      </c>
    </row>
    <row r="260" spans="1:343" x14ac:dyDescent="0.2">
      <c r="A260" s="2">
        <v>9</v>
      </c>
      <c r="B260" s="7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>
        <f t="shared" si="47"/>
        <v>0</v>
      </c>
      <c r="IL260" s="3">
        <f t="shared" si="47"/>
        <v>0</v>
      </c>
      <c r="IM260" s="3">
        <f t="shared" si="47"/>
        <v>0</v>
      </c>
      <c r="IN260" s="3">
        <f t="shared" si="47"/>
        <v>0</v>
      </c>
      <c r="IO260" s="3">
        <f t="shared" si="47"/>
        <v>0</v>
      </c>
      <c r="IP260" s="3">
        <f t="shared" si="47"/>
        <v>0</v>
      </c>
      <c r="IQ260" s="3">
        <f t="shared" si="47"/>
        <v>0</v>
      </c>
      <c r="IR260" s="3">
        <f t="shared" si="47"/>
        <v>0</v>
      </c>
      <c r="IS260" s="3">
        <f t="shared" si="47"/>
        <v>0</v>
      </c>
      <c r="IT260" s="3">
        <f t="shared" si="47"/>
        <v>0</v>
      </c>
      <c r="IU260" s="3">
        <f t="shared" si="47"/>
        <v>0</v>
      </c>
      <c r="IV260" s="3">
        <f t="shared" si="47"/>
        <v>0</v>
      </c>
      <c r="IW260" s="3">
        <f t="shared" si="47"/>
        <v>0</v>
      </c>
      <c r="IX260" s="3">
        <f t="shared" si="48"/>
        <v>0</v>
      </c>
      <c r="IY260" s="3">
        <f t="shared" si="48"/>
        <v>0</v>
      </c>
      <c r="IZ260" s="3">
        <f>IZ$338</f>
        <v>0</v>
      </c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8"/>
      <c r="LZ260" s="2">
        <v>0.15386396011396</v>
      </c>
      <c r="MA260" s="1">
        <f t="shared" si="49"/>
        <v>0</v>
      </c>
      <c r="MB260" s="1">
        <v>0</v>
      </c>
      <c r="MC260" s="2">
        <v>0.15386395999999999</v>
      </c>
      <c r="MD260" s="1">
        <f t="shared" si="50"/>
        <v>0.15386395999999999</v>
      </c>
      <c r="ME260" s="1">
        <f t="shared" si="51"/>
        <v>0.15386395999999999</v>
      </c>
    </row>
    <row r="261" spans="1:343" x14ac:dyDescent="0.2">
      <c r="A261" s="2">
        <v>9.5</v>
      </c>
      <c r="B261" s="7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>
        <f t="shared" si="47"/>
        <v>0</v>
      </c>
      <c r="IM261" s="3">
        <f t="shared" si="47"/>
        <v>0</v>
      </c>
      <c r="IN261" s="3">
        <f t="shared" si="47"/>
        <v>0</v>
      </c>
      <c r="IO261" s="3">
        <f t="shared" si="47"/>
        <v>0</v>
      </c>
      <c r="IP261" s="3">
        <f t="shared" si="47"/>
        <v>0</v>
      </c>
      <c r="IQ261" s="3">
        <f t="shared" si="47"/>
        <v>0</v>
      </c>
      <c r="IR261" s="3">
        <f t="shared" si="47"/>
        <v>0</v>
      </c>
      <c r="IS261" s="3">
        <f t="shared" si="47"/>
        <v>0</v>
      </c>
      <c r="IT261" s="3">
        <f t="shared" si="47"/>
        <v>0</v>
      </c>
      <c r="IU261" s="3">
        <f t="shared" si="47"/>
        <v>0</v>
      </c>
      <c r="IV261" s="3">
        <f t="shared" si="47"/>
        <v>0</v>
      </c>
      <c r="IW261" s="3">
        <f t="shared" si="47"/>
        <v>0</v>
      </c>
      <c r="IX261" s="3">
        <f t="shared" si="48"/>
        <v>0</v>
      </c>
      <c r="IY261" s="3">
        <f t="shared" si="48"/>
        <v>0</v>
      </c>
      <c r="IZ261" s="3">
        <f t="shared" si="48"/>
        <v>0</v>
      </c>
      <c r="JA261" s="3">
        <f>JA$338</f>
        <v>0</v>
      </c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8"/>
      <c r="LZ261" s="2">
        <v>0.15386396011396</v>
      </c>
      <c r="MA261" s="1">
        <f t="shared" si="49"/>
        <v>0</v>
      </c>
      <c r="MB261" s="1">
        <v>0</v>
      </c>
      <c r="MC261" s="2">
        <v>0.15386395999999999</v>
      </c>
      <c r="MD261" s="1">
        <f t="shared" si="50"/>
        <v>0.15386395999999999</v>
      </c>
      <c r="ME261" s="1">
        <f t="shared" si="51"/>
        <v>0.15386395999999999</v>
      </c>
    </row>
    <row r="262" spans="1:343" x14ac:dyDescent="0.2">
      <c r="A262" s="2">
        <v>10</v>
      </c>
      <c r="B262" s="7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>
        <f t="shared" si="47"/>
        <v>0</v>
      </c>
      <c r="IN262" s="3">
        <f t="shared" si="47"/>
        <v>0</v>
      </c>
      <c r="IO262" s="3">
        <f t="shared" si="47"/>
        <v>0</v>
      </c>
      <c r="IP262" s="3">
        <f t="shared" si="47"/>
        <v>0</v>
      </c>
      <c r="IQ262" s="3">
        <f t="shared" si="47"/>
        <v>0</v>
      </c>
      <c r="IR262" s="3">
        <f t="shared" si="47"/>
        <v>0</v>
      </c>
      <c r="IS262" s="3">
        <f t="shared" si="47"/>
        <v>0</v>
      </c>
      <c r="IT262" s="3">
        <f t="shared" si="47"/>
        <v>0</v>
      </c>
      <c r="IU262" s="3">
        <f t="shared" si="47"/>
        <v>0</v>
      </c>
      <c r="IV262" s="3">
        <f t="shared" si="47"/>
        <v>0</v>
      </c>
      <c r="IW262" s="3">
        <f t="shared" si="47"/>
        <v>0</v>
      </c>
      <c r="IX262" s="3">
        <f t="shared" si="48"/>
        <v>0</v>
      </c>
      <c r="IY262" s="3">
        <f t="shared" si="48"/>
        <v>0</v>
      </c>
      <c r="IZ262" s="3">
        <f t="shared" si="48"/>
        <v>0</v>
      </c>
      <c r="JA262" s="3">
        <f t="shared" si="48"/>
        <v>0</v>
      </c>
      <c r="JB262" s="3">
        <f>JB$338</f>
        <v>0</v>
      </c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8"/>
      <c r="LZ262" s="2">
        <v>0.19978632478632499</v>
      </c>
      <c r="MA262" s="1">
        <f t="shared" si="49"/>
        <v>0</v>
      </c>
      <c r="MB262" s="1">
        <v>0</v>
      </c>
      <c r="MC262" s="2">
        <v>0.19978631999999999</v>
      </c>
      <c r="MD262" s="1">
        <f t="shared" si="50"/>
        <v>0.19978631999999999</v>
      </c>
      <c r="ME262" s="1">
        <f t="shared" si="51"/>
        <v>0.19978631999999999</v>
      </c>
    </row>
    <row r="263" spans="1:343" x14ac:dyDescent="0.2">
      <c r="A263" s="2">
        <v>10.5</v>
      </c>
      <c r="B263" s="7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>
        <f t="shared" si="47"/>
        <v>0</v>
      </c>
      <c r="IO263" s="3">
        <f t="shared" si="47"/>
        <v>0</v>
      </c>
      <c r="IP263" s="3">
        <f t="shared" si="47"/>
        <v>0</v>
      </c>
      <c r="IQ263" s="3">
        <f t="shared" si="47"/>
        <v>0</v>
      </c>
      <c r="IR263" s="3">
        <f t="shared" si="47"/>
        <v>0</v>
      </c>
      <c r="IS263" s="3">
        <f t="shared" si="47"/>
        <v>0</v>
      </c>
      <c r="IT263" s="3">
        <f t="shared" si="47"/>
        <v>0</v>
      </c>
      <c r="IU263" s="3">
        <f t="shared" si="47"/>
        <v>0</v>
      </c>
      <c r="IV263" s="3">
        <f t="shared" si="47"/>
        <v>0</v>
      </c>
      <c r="IW263" s="3">
        <f t="shared" si="47"/>
        <v>0</v>
      </c>
      <c r="IX263" s="3">
        <f t="shared" si="48"/>
        <v>0</v>
      </c>
      <c r="IY263" s="3">
        <f t="shared" si="48"/>
        <v>0</v>
      </c>
      <c r="IZ263" s="3">
        <f t="shared" si="48"/>
        <v>0</v>
      </c>
      <c r="JA263" s="3">
        <f t="shared" si="48"/>
        <v>0</v>
      </c>
      <c r="JB263" s="3">
        <f t="shared" si="48"/>
        <v>0</v>
      </c>
      <c r="JC263" s="3">
        <f>JC$338</f>
        <v>0</v>
      </c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8"/>
      <c r="LZ263" s="2">
        <v>0.19978632478632499</v>
      </c>
      <c r="MA263" s="1">
        <f t="shared" si="49"/>
        <v>0</v>
      </c>
      <c r="MB263" s="1">
        <v>0</v>
      </c>
      <c r="MC263" s="2">
        <v>0.19978631999999999</v>
      </c>
      <c r="MD263" s="1">
        <f t="shared" si="50"/>
        <v>0.19978631999999999</v>
      </c>
      <c r="ME263" s="1">
        <f t="shared" si="51"/>
        <v>0.19978631999999999</v>
      </c>
    </row>
    <row r="264" spans="1:343" x14ac:dyDescent="0.2">
      <c r="A264" s="2">
        <v>11</v>
      </c>
      <c r="B264" s="7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>
        <f t="shared" si="47"/>
        <v>0</v>
      </c>
      <c r="IP264" s="3">
        <f t="shared" si="47"/>
        <v>0</v>
      </c>
      <c r="IQ264" s="3">
        <f t="shared" si="47"/>
        <v>0</v>
      </c>
      <c r="IR264" s="3">
        <f t="shared" si="47"/>
        <v>0</v>
      </c>
      <c r="IS264" s="3">
        <f t="shared" si="47"/>
        <v>0</v>
      </c>
      <c r="IT264" s="3">
        <f t="shared" si="47"/>
        <v>0</v>
      </c>
      <c r="IU264" s="3">
        <f t="shared" si="47"/>
        <v>0</v>
      </c>
      <c r="IV264" s="3">
        <f t="shared" si="47"/>
        <v>0</v>
      </c>
      <c r="IW264" s="3">
        <f t="shared" si="47"/>
        <v>0</v>
      </c>
      <c r="IX264" s="3">
        <f t="shared" si="48"/>
        <v>0</v>
      </c>
      <c r="IY264" s="3">
        <f t="shared" si="48"/>
        <v>0</v>
      </c>
      <c r="IZ264" s="3">
        <f t="shared" si="48"/>
        <v>0</v>
      </c>
      <c r="JA264" s="3">
        <f t="shared" si="48"/>
        <v>0</v>
      </c>
      <c r="JB264" s="3">
        <f t="shared" si="48"/>
        <v>0</v>
      </c>
      <c r="JC264" s="3">
        <f t="shared" si="48"/>
        <v>0</v>
      </c>
      <c r="JD264" s="3">
        <f>JD$338</f>
        <v>0</v>
      </c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8"/>
      <c r="LZ264" s="2">
        <v>0.25947293447293501</v>
      </c>
      <c r="MA264" s="1">
        <f t="shared" si="49"/>
        <v>0</v>
      </c>
      <c r="MB264" s="1">
        <v>0</v>
      </c>
      <c r="MC264" s="2">
        <v>0.25947292999999999</v>
      </c>
      <c r="MD264" s="1">
        <f t="shared" si="50"/>
        <v>0.25947292999999999</v>
      </c>
      <c r="ME264" s="1">
        <f t="shared" si="51"/>
        <v>0.25947292999999999</v>
      </c>
    </row>
    <row r="265" spans="1:343" x14ac:dyDescent="0.2">
      <c r="A265" s="2">
        <v>11.5</v>
      </c>
      <c r="B265" s="7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>
        <f t="shared" si="47"/>
        <v>0</v>
      </c>
      <c r="IQ265" s="3">
        <f t="shared" si="47"/>
        <v>0</v>
      </c>
      <c r="IR265" s="3">
        <f t="shared" si="47"/>
        <v>0</v>
      </c>
      <c r="IS265" s="3">
        <f t="shared" si="47"/>
        <v>0</v>
      </c>
      <c r="IT265" s="3">
        <f t="shared" si="47"/>
        <v>0</v>
      </c>
      <c r="IU265" s="3">
        <f t="shared" si="47"/>
        <v>0</v>
      </c>
      <c r="IV265" s="3">
        <f t="shared" si="47"/>
        <v>0</v>
      </c>
      <c r="IW265" s="3">
        <f t="shared" si="47"/>
        <v>0</v>
      </c>
      <c r="IX265" s="3">
        <f t="shared" si="48"/>
        <v>0</v>
      </c>
      <c r="IY265" s="3">
        <f t="shared" si="48"/>
        <v>0</v>
      </c>
      <c r="IZ265" s="3">
        <f t="shared" si="48"/>
        <v>0</v>
      </c>
      <c r="JA265" s="3">
        <f t="shared" si="48"/>
        <v>0</v>
      </c>
      <c r="JB265" s="3">
        <f t="shared" si="48"/>
        <v>0</v>
      </c>
      <c r="JC265" s="3">
        <f t="shared" si="48"/>
        <v>0</v>
      </c>
      <c r="JD265" s="3">
        <f t="shared" si="48"/>
        <v>0</v>
      </c>
      <c r="JE265" s="3">
        <f>JE$338</f>
        <v>0</v>
      </c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8"/>
      <c r="LZ265" s="2">
        <v>0.25947293447293501</v>
      </c>
      <c r="MA265" s="1">
        <f t="shared" si="49"/>
        <v>0</v>
      </c>
      <c r="MB265" s="1">
        <v>0</v>
      </c>
      <c r="MC265" s="2">
        <v>0.25947292999999999</v>
      </c>
      <c r="MD265" s="1">
        <f t="shared" si="50"/>
        <v>0.25947292999999999</v>
      </c>
      <c r="ME265" s="1">
        <f t="shared" si="51"/>
        <v>0.25947292999999999</v>
      </c>
    </row>
    <row r="266" spans="1:343" x14ac:dyDescent="0.2">
      <c r="A266" s="2">
        <v>12</v>
      </c>
      <c r="B266" s="7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>
        <f t="shared" si="47"/>
        <v>0</v>
      </c>
      <c r="IR266" s="3">
        <f t="shared" si="47"/>
        <v>0</v>
      </c>
      <c r="IS266" s="3">
        <f t="shared" si="47"/>
        <v>0</v>
      </c>
      <c r="IT266" s="3">
        <f t="shared" si="47"/>
        <v>0</v>
      </c>
      <c r="IU266" s="3">
        <f t="shared" si="47"/>
        <v>0</v>
      </c>
      <c r="IV266" s="3">
        <f t="shared" si="47"/>
        <v>0</v>
      </c>
      <c r="IW266" s="3">
        <f t="shared" si="47"/>
        <v>0</v>
      </c>
      <c r="IX266" s="3">
        <f t="shared" si="48"/>
        <v>0</v>
      </c>
      <c r="IY266" s="3">
        <f t="shared" si="48"/>
        <v>0</v>
      </c>
      <c r="IZ266" s="3">
        <f t="shared" si="48"/>
        <v>0</v>
      </c>
      <c r="JA266" s="3">
        <f t="shared" si="48"/>
        <v>0</v>
      </c>
      <c r="JB266" s="3">
        <f t="shared" si="48"/>
        <v>0</v>
      </c>
      <c r="JC266" s="3">
        <f t="shared" si="48"/>
        <v>0</v>
      </c>
      <c r="JD266" s="3">
        <f t="shared" si="48"/>
        <v>0</v>
      </c>
      <c r="JE266" s="3">
        <f t="shared" si="48"/>
        <v>0</v>
      </c>
      <c r="JF266" s="3">
        <f>JF$338</f>
        <v>0</v>
      </c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8"/>
      <c r="LZ266" s="2">
        <v>0.27936253561253599</v>
      </c>
      <c r="MA266" s="1">
        <f t="shared" si="49"/>
        <v>0</v>
      </c>
      <c r="MB266" s="1">
        <v>0</v>
      </c>
      <c r="MC266" s="2">
        <v>0.27936253999999999</v>
      </c>
      <c r="MD266" s="1">
        <f t="shared" si="50"/>
        <v>0.27936253999999999</v>
      </c>
      <c r="ME266" s="1">
        <f t="shared" si="51"/>
        <v>0.27936253999999999</v>
      </c>
    </row>
    <row r="267" spans="1:343" x14ac:dyDescent="0.2">
      <c r="A267" s="2">
        <v>12.5</v>
      </c>
      <c r="B267" s="7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>
        <f t="shared" si="47"/>
        <v>0</v>
      </c>
      <c r="IS267" s="3">
        <f t="shared" si="47"/>
        <v>0</v>
      </c>
      <c r="IT267" s="3">
        <f t="shared" si="47"/>
        <v>0</v>
      </c>
      <c r="IU267" s="3">
        <f t="shared" si="47"/>
        <v>0</v>
      </c>
      <c r="IV267" s="3">
        <f t="shared" si="47"/>
        <v>0</v>
      </c>
      <c r="IW267" s="3">
        <f t="shared" si="47"/>
        <v>0</v>
      </c>
      <c r="IX267" s="3">
        <f t="shared" si="48"/>
        <v>0</v>
      </c>
      <c r="IY267" s="3">
        <f t="shared" si="48"/>
        <v>0</v>
      </c>
      <c r="IZ267" s="3">
        <f t="shared" si="48"/>
        <v>0</v>
      </c>
      <c r="JA267" s="3">
        <f t="shared" si="48"/>
        <v>0</v>
      </c>
      <c r="JB267" s="3">
        <f t="shared" si="48"/>
        <v>0</v>
      </c>
      <c r="JC267" s="3">
        <f t="shared" si="48"/>
        <v>0</v>
      </c>
      <c r="JD267" s="3">
        <f t="shared" si="48"/>
        <v>0</v>
      </c>
      <c r="JE267" s="3">
        <f t="shared" si="48"/>
        <v>0</v>
      </c>
      <c r="JF267" s="3">
        <f t="shared" si="48"/>
        <v>0</v>
      </c>
      <c r="JG267" s="3">
        <f>JG$338</f>
        <v>0</v>
      </c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8"/>
      <c r="LZ267" s="2">
        <v>0.27936253561253599</v>
      </c>
      <c r="MA267" s="1">
        <f t="shared" si="49"/>
        <v>0</v>
      </c>
      <c r="MB267" s="1">
        <v>0</v>
      </c>
      <c r="MC267" s="2">
        <v>0.27936253999999999</v>
      </c>
      <c r="MD267" s="1">
        <f t="shared" si="50"/>
        <v>0.27936253999999999</v>
      </c>
      <c r="ME267" s="1">
        <f t="shared" si="51"/>
        <v>0.27936253999999999</v>
      </c>
    </row>
    <row r="268" spans="1:343" x14ac:dyDescent="0.2">
      <c r="A268" s="2">
        <v>13</v>
      </c>
      <c r="B268" s="7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>
        <f t="shared" si="47"/>
        <v>0</v>
      </c>
      <c r="IT268" s="3">
        <f t="shared" si="47"/>
        <v>0</v>
      </c>
      <c r="IU268" s="3">
        <f t="shared" si="47"/>
        <v>0</v>
      </c>
      <c r="IV268" s="3">
        <f t="shared" si="47"/>
        <v>0</v>
      </c>
      <c r="IW268" s="3">
        <f t="shared" si="47"/>
        <v>0</v>
      </c>
      <c r="IX268" s="3">
        <f t="shared" si="48"/>
        <v>0</v>
      </c>
      <c r="IY268" s="3">
        <f t="shared" si="48"/>
        <v>0</v>
      </c>
      <c r="IZ268" s="3">
        <f t="shared" si="48"/>
        <v>0</v>
      </c>
      <c r="JA268" s="3">
        <f t="shared" si="48"/>
        <v>0</v>
      </c>
      <c r="JB268" s="3">
        <f t="shared" si="48"/>
        <v>0</v>
      </c>
      <c r="JC268" s="3">
        <f t="shared" si="48"/>
        <v>0</v>
      </c>
      <c r="JD268" s="3">
        <f t="shared" si="48"/>
        <v>0</v>
      </c>
      <c r="JE268" s="3">
        <f t="shared" si="48"/>
        <v>0</v>
      </c>
      <c r="JF268" s="3">
        <f t="shared" si="48"/>
        <v>0</v>
      </c>
      <c r="JG268" s="3">
        <f t="shared" si="48"/>
        <v>0</v>
      </c>
      <c r="JH268" s="3">
        <f>JH$338</f>
        <v>0</v>
      </c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8"/>
      <c r="LZ268" s="2">
        <v>0.293963675213675</v>
      </c>
      <c r="MA268" s="1">
        <f t="shared" si="49"/>
        <v>0</v>
      </c>
      <c r="MB268" s="1">
        <v>0</v>
      </c>
      <c r="MC268" s="2">
        <v>0.29396368</v>
      </c>
      <c r="MD268" s="1">
        <f t="shared" si="50"/>
        <v>0.29396368</v>
      </c>
      <c r="ME268" s="1">
        <f t="shared" si="51"/>
        <v>0.29396368</v>
      </c>
    </row>
    <row r="269" spans="1:343" x14ac:dyDescent="0.2">
      <c r="A269" s="2">
        <v>13.5</v>
      </c>
      <c r="B269" s="7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>
        <f t="shared" si="47"/>
        <v>0</v>
      </c>
      <c r="IU269" s="3">
        <f t="shared" si="47"/>
        <v>0</v>
      </c>
      <c r="IV269" s="3">
        <f t="shared" si="47"/>
        <v>0</v>
      </c>
      <c r="IW269" s="3">
        <f t="shared" si="47"/>
        <v>0</v>
      </c>
      <c r="IX269" s="3">
        <f t="shared" si="48"/>
        <v>0</v>
      </c>
      <c r="IY269" s="3">
        <f t="shared" si="48"/>
        <v>0</v>
      </c>
      <c r="IZ269" s="3">
        <f t="shared" si="48"/>
        <v>0</v>
      </c>
      <c r="JA269" s="3">
        <f t="shared" si="48"/>
        <v>0</v>
      </c>
      <c r="JB269" s="3">
        <f t="shared" si="48"/>
        <v>0</v>
      </c>
      <c r="JC269" s="3">
        <f t="shared" si="48"/>
        <v>0</v>
      </c>
      <c r="JD269" s="3">
        <f t="shared" si="48"/>
        <v>0</v>
      </c>
      <c r="JE269" s="3">
        <f t="shared" si="48"/>
        <v>0</v>
      </c>
      <c r="JF269" s="3">
        <f t="shared" si="48"/>
        <v>0</v>
      </c>
      <c r="JG269" s="3">
        <f t="shared" si="48"/>
        <v>0</v>
      </c>
      <c r="JH269" s="3">
        <f t="shared" si="48"/>
        <v>0</v>
      </c>
      <c r="JI269" s="3">
        <f>JI$338</f>
        <v>0</v>
      </c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8"/>
      <c r="LZ269" s="2">
        <v>0.293963675213675</v>
      </c>
      <c r="MA269" s="1">
        <f t="shared" si="49"/>
        <v>0</v>
      </c>
      <c r="MB269" s="1">
        <v>0</v>
      </c>
      <c r="MC269" s="2">
        <v>0.29396368</v>
      </c>
      <c r="MD269" s="1">
        <f t="shared" si="50"/>
        <v>0.29396368</v>
      </c>
      <c r="ME269" s="1">
        <f t="shared" si="51"/>
        <v>0.29396368</v>
      </c>
    </row>
    <row r="270" spans="1:343" x14ac:dyDescent="0.2">
      <c r="A270" s="2">
        <v>14</v>
      </c>
      <c r="B270" s="7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>
        <f t="shared" si="47"/>
        <v>0</v>
      </c>
      <c r="IV270" s="3">
        <f t="shared" si="47"/>
        <v>0</v>
      </c>
      <c r="IW270" s="3">
        <f t="shared" si="47"/>
        <v>0</v>
      </c>
      <c r="IX270" s="3">
        <f t="shared" si="48"/>
        <v>0</v>
      </c>
      <c r="IY270" s="3">
        <f t="shared" si="48"/>
        <v>0</v>
      </c>
      <c r="IZ270" s="3">
        <f t="shared" si="48"/>
        <v>0</v>
      </c>
      <c r="JA270" s="3">
        <f t="shared" si="48"/>
        <v>0</v>
      </c>
      <c r="JB270" s="3">
        <f t="shared" si="48"/>
        <v>0</v>
      </c>
      <c r="JC270" s="3">
        <f t="shared" si="48"/>
        <v>0</v>
      </c>
      <c r="JD270" s="3">
        <f t="shared" si="48"/>
        <v>0</v>
      </c>
      <c r="JE270" s="3">
        <f t="shared" si="48"/>
        <v>0</v>
      </c>
      <c r="JF270" s="3">
        <f t="shared" si="48"/>
        <v>0</v>
      </c>
      <c r="JG270" s="3">
        <f t="shared" si="48"/>
        <v>0</v>
      </c>
      <c r="JH270" s="3">
        <f t="shared" si="48"/>
        <v>0</v>
      </c>
      <c r="JI270" s="3">
        <f t="shared" si="48"/>
        <v>0</v>
      </c>
      <c r="JJ270" s="3">
        <f>JJ$338</f>
        <v>0</v>
      </c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8"/>
      <c r="LZ270" s="2">
        <v>0.31303418803418798</v>
      </c>
      <c r="MA270" s="1">
        <f t="shared" si="49"/>
        <v>0</v>
      </c>
      <c r="MB270" s="1">
        <v>0</v>
      </c>
      <c r="MC270" s="2">
        <v>0.31303418999999999</v>
      </c>
      <c r="MD270" s="1">
        <f t="shared" si="50"/>
        <v>0.31303418999999999</v>
      </c>
      <c r="ME270" s="1">
        <f t="shared" si="51"/>
        <v>0.31303418999999999</v>
      </c>
    </row>
    <row r="271" spans="1:343" x14ac:dyDescent="0.2">
      <c r="A271" s="2">
        <v>14.5</v>
      </c>
      <c r="B271" s="7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>
        <f t="shared" si="47"/>
        <v>0</v>
      </c>
      <c r="IW271" s="3">
        <f t="shared" si="47"/>
        <v>0</v>
      </c>
      <c r="IX271" s="3">
        <f t="shared" si="48"/>
        <v>0</v>
      </c>
      <c r="IY271" s="3">
        <f t="shared" si="48"/>
        <v>0</v>
      </c>
      <c r="IZ271" s="3">
        <f t="shared" si="48"/>
        <v>0</v>
      </c>
      <c r="JA271" s="3">
        <f t="shared" si="48"/>
        <v>0</v>
      </c>
      <c r="JB271" s="3">
        <f t="shared" si="48"/>
        <v>0</v>
      </c>
      <c r="JC271" s="3">
        <f t="shared" si="48"/>
        <v>0</v>
      </c>
      <c r="JD271" s="3">
        <f t="shared" si="48"/>
        <v>0</v>
      </c>
      <c r="JE271" s="3">
        <f t="shared" si="48"/>
        <v>0</v>
      </c>
      <c r="JF271" s="3">
        <f t="shared" si="48"/>
        <v>0</v>
      </c>
      <c r="JG271" s="3">
        <f t="shared" si="48"/>
        <v>0</v>
      </c>
      <c r="JH271" s="3">
        <f t="shared" si="48"/>
        <v>0</v>
      </c>
      <c r="JI271" s="3">
        <f t="shared" si="48"/>
        <v>0</v>
      </c>
      <c r="JJ271" s="3">
        <f t="shared" si="48"/>
        <v>0</v>
      </c>
      <c r="JK271" s="3">
        <f>JK$338</f>
        <v>0</v>
      </c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8"/>
      <c r="LZ271" s="2">
        <v>0.31303418803418798</v>
      </c>
      <c r="MA271" s="1">
        <f t="shared" si="49"/>
        <v>0</v>
      </c>
      <c r="MB271" s="1">
        <v>0</v>
      </c>
      <c r="MC271" s="2">
        <v>0.31303418999999999</v>
      </c>
      <c r="MD271" s="1">
        <f t="shared" si="50"/>
        <v>0.31303418999999999</v>
      </c>
      <c r="ME271" s="1">
        <f t="shared" si="51"/>
        <v>0.31303418999999999</v>
      </c>
    </row>
    <row r="272" spans="1:343" x14ac:dyDescent="0.2">
      <c r="A272" s="2">
        <v>15</v>
      </c>
      <c r="B272" s="7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>
        <f t="shared" si="47"/>
        <v>0</v>
      </c>
      <c r="IX272" s="3">
        <f t="shared" si="48"/>
        <v>0</v>
      </c>
      <c r="IY272" s="3">
        <f t="shared" si="48"/>
        <v>0</v>
      </c>
      <c r="IZ272" s="3">
        <f t="shared" si="48"/>
        <v>0</v>
      </c>
      <c r="JA272" s="3">
        <f t="shared" si="48"/>
        <v>0</v>
      </c>
      <c r="JB272" s="3">
        <f t="shared" si="48"/>
        <v>0</v>
      </c>
      <c r="JC272" s="3">
        <f t="shared" si="48"/>
        <v>0</v>
      </c>
      <c r="JD272" s="3">
        <f t="shared" si="48"/>
        <v>0</v>
      </c>
      <c r="JE272" s="3">
        <f t="shared" si="48"/>
        <v>0</v>
      </c>
      <c r="JF272" s="3">
        <f t="shared" si="48"/>
        <v>0</v>
      </c>
      <c r="JG272" s="3">
        <f t="shared" si="48"/>
        <v>0</v>
      </c>
      <c r="JH272" s="3">
        <f t="shared" si="48"/>
        <v>0</v>
      </c>
      <c r="JI272" s="3">
        <f t="shared" si="48"/>
        <v>0</v>
      </c>
      <c r="JJ272" s="3">
        <f t="shared" si="48"/>
        <v>0</v>
      </c>
      <c r="JK272" s="3">
        <f t="shared" si="48"/>
        <v>0</v>
      </c>
      <c r="JL272" s="3">
        <f>JL$338</f>
        <v>0</v>
      </c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8"/>
      <c r="LZ272" s="2">
        <v>0.325569800569801</v>
      </c>
      <c r="MA272" s="1">
        <f t="shared" si="49"/>
        <v>0</v>
      </c>
      <c r="MB272" s="1">
        <v>0</v>
      </c>
      <c r="MC272" s="2">
        <v>0.32556980000000002</v>
      </c>
      <c r="MD272" s="1">
        <f t="shared" si="50"/>
        <v>0.32556980000000002</v>
      </c>
      <c r="ME272" s="1">
        <f t="shared" si="51"/>
        <v>0.32556980000000002</v>
      </c>
    </row>
    <row r="273" spans="1:343" x14ac:dyDescent="0.2">
      <c r="A273" s="2">
        <v>15.5</v>
      </c>
      <c r="B273" s="7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>
        <f t="shared" si="48"/>
        <v>0</v>
      </c>
      <c r="IY273" s="3">
        <f t="shared" si="48"/>
        <v>0</v>
      </c>
      <c r="IZ273" s="3">
        <f t="shared" si="48"/>
        <v>0</v>
      </c>
      <c r="JA273" s="3">
        <f t="shared" si="48"/>
        <v>0</v>
      </c>
      <c r="JB273" s="3">
        <f t="shared" si="48"/>
        <v>0</v>
      </c>
      <c r="JC273" s="3">
        <f t="shared" si="48"/>
        <v>0</v>
      </c>
      <c r="JD273" s="3">
        <f t="shared" si="48"/>
        <v>0</v>
      </c>
      <c r="JE273" s="3">
        <f t="shared" si="48"/>
        <v>0</v>
      </c>
      <c r="JF273" s="3">
        <f t="shared" si="48"/>
        <v>0</v>
      </c>
      <c r="JG273" s="3">
        <f t="shared" si="48"/>
        <v>0</v>
      </c>
      <c r="JH273" s="3">
        <f t="shared" si="48"/>
        <v>0</v>
      </c>
      <c r="JI273" s="3">
        <f t="shared" si="48"/>
        <v>0</v>
      </c>
      <c r="JJ273" s="3">
        <f t="shared" si="48"/>
        <v>0</v>
      </c>
      <c r="JK273" s="3">
        <f t="shared" si="48"/>
        <v>0</v>
      </c>
      <c r="JL273" s="3">
        <f t="shared" si="48"/>
        <v>0</v>
      </c>
      <c r="JM273" s="3">
        <f>JM$338</f>
        <v>0</v>
      </c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8"/>
      <c r="LZ273" s="2">
        <v>0.325569800569801</v>
      </c>
      <c r="MA273" s="1">
        <f t="shared" si="49"/>
        <v>0</v>
      </c>
      <c r="MB273" s="1">
        <v>0</v>
      </c>
      <c r="MC273" s="2">
        <v>0.32556980000000002</v>
      </c>
      <c r="MD273" s="1">
        <f t="shared" si="50"/>
        <v>0.32556980000000002</v>
      </c>
      <c r="ME273" s="1">
        <f t="shared" si="51"/>
        <v>0.32556980000000002</v>
      </c>
    </row>
    <row r="274" spans="1:343" x14ac:dyDescent="0.2">
      <c r="A274" s="2">
        <v>16</v>
      </c>
      <c r="B274" s="7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>
        <f t="shared" si="48"/>
        <v>0</v>
      </c>
      <c r="IZ274" s="3">
        <f t="shared" si="48"/>
        <v>0</v>
      </c>
      <c r="JA274" s="3">
        <f t="shared" si="48"/>
        <v>0</v>
      </c>
      <c r="JB274" s="3">
        <f t="shared" si="48"/>
        <v>0</v>
      </c>
      <c r="JC274" s="3">
        <f t="shared" si="48"/>
        <v>0</v>
      </c>
      <c r="JD274" s="3">
        <f t="shared" si="48"/>
        <v>0</v>
      </c>
      <c r="JE274" s="3">
        <f t="shared" si="48"/>
        <v>0</v>
      </c>
      <c r="JF274" s="3">
        <f t="shared" si="48"/>
        <v>0</v>
      </c>
      <c r="JG274" s="3">
        <f t="shared" si="48"/>
        <v>0</v>
      </c>
      <c r="JH274" s="3">
        <f t="shared" si="48"/>
        <v>0</v>
      </c>
      <c r="JI274" s="3">
        <f t="shared" si="48"/>
        <v>0</v>
      </c>
      <c r="JJ274" s="3">
        <f t="shared" si="48"/>
        <v>0</v>
      </c>
      <c r="JK274" s="3">
        <f t="shared" si="48"/>
        <v>0</v>
      </c>
      <c r="JL274" s="3">
        <f t="shared" si="48"/>
        <v>0</v>
      </c>
      <c r="JM274" s="3">
        <f t="shared" si="48"/>
        <v>0</v>
      </c>
      <c r="JN274" s="3">
        <f>JN$338</f>
        <v>1</v>
      </c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8"/>
      <c r="LZ274" s="2">
        <v>0.39107905982905999</v>
      </c>
      <c r="MA274" s="1">
        <f t="shared" si="49"/>
        <v>1</v>
      </c>
      <c r="MB274" s="1">
        <v>0.60892093999999997</v>
      </c>
      <c r="MC274" s="2">
        <v>0</v>
      </c>
      <c r="MD274" s="1">
        <f t="shared" si="50"/>
        <v>0.39107906000000003</v>
      </c>
      <c r="ME274" s="1">
        <f t="shared" si="51"/>
        <v>0.60892093999999997</v>
      </c>
    </row>
    <row r="275" spans="1:343" x14ac:dyDescent="0.2">
      <c r="A275" s="2">
        <v>16.5</v>
      </c>
      <c r="B275" s="7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>
        <f t="shared" si="48"/>
        <v>0</v>
      </c>
      <c r="JA275" s="3">
        <f t="shared" si="48"/>
        <v>0</v>
      </c>
      <c r="JB275" s="3">
        <f t="shared" si="48"/>
        <v>0</v>
      </c>
      <c r="JC275" s="3">
        <f t="shared" si="48"/>
        <v>0</v>
      </c>
      <c r="JD275" s="3">
        <f t="shared" si="48"/>
        <v>0</v>
      </c>
      <c r="JE275" s="3">
        <f t="shared" si="48"/>
        <v>0</v>
      </c>
      <c r="JF275" s="3">
        <f t="shared" si="48"/>
        <v>0</v>
      </c>
      <c r="JG275" s="3">
        <f t="shared" si="48"/>
        <v>0</v>
      </c>
      <c r="JH275" s="3">
        <f t="shared" si="48"/>
        <v>0</v>
      </c>
      <c r="JI275" s="3">
        <f t="shared" si="48"/>
        <v>0</v>
      </c>
      <c r="JJ275" s="3">
        <f t="shared" si="48"/>
        <v>0</v>
      </c>
      <c r="JK275" s="3">
        <f t="shared" si="48"/>
        <v>0</v>
      </c>
      <c r="JL275" s="3">
        <f t="shared" si="48"/>
        <v>0</v>
      </c>
      <c r="JM275" s="3">
        <f t="shared" si="48"/>
        <v>0</v>
      </c>
      <c r="JN275" s="3">
        <f t="shared" si="48"/>
        <v>1</v>
      </c>
      <c r="JO275" s="3">
        <f>JO$338</f>
        <v>0</v>
      </c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8"/>
      <c r="LZ275" s="2">
        <v>0.39107905982905999</v>
      </c>
      <c r="MA275" s="1">
        <f t="shared" si="49"/>
        <v>1</v>
      </c>
      <c r="MB275" s="1">
        <v>0.60892093999999997</v>
      </c>
      <c r="MC275" s="2">
        <v>0</v>
      </c>
      <c r="MD275" s="1">
        <f t="shared" si="50"/>
        <v>0.39107906000000003</v>
      </c>
      <c r="ME275" s="1">
        <f t="shared" si="51"/>
        <v>0.60892093999999997</v>
      </c>
    </row>
    <row r="276" spans="1:343" x14ac:dyDescent="0.2">
      <c r="A276" s="2">
        <v>17</v>
      </c>
      <c r="B276" s="7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>
        <f t="shared" si="48"/>
        <v>0</v>
      </c>
      <c r="JB276" s="3">
        <f t="shared" si="48"/>
        <v>0</v>
      </c>
      <c r="JC276" s="3">
        <f t="shared" si="48"/>
        <v>0</v>
      </c>
      <c r="JD276" s="3">
        <f t="shared" si="48"/>
        <v>0</v>
      </c>
      <c r="JE276" s="3">
        <f t="shared" si="48"/>
        <v>0</v>
      </c>
      <c r="JF276" s="3">
        <f t="shared" si="48"/>
        <v>0</v>
      </c>
      <c r="JG276" s="3">
        <f t="shared" si="48"/>
        <v>0</v>
      </c>
      <c r="JH276" s="3">
        <f t="shared" si="48"/>
        <v>0</v>
      </c>
      <c r="JI276" s="3">
        <f t="shared" si="48"/>
        <v>0</v>
      </c>
      <c r="JJ276" s="3">
        <f t="shared" si="48"/>
        <v>0</v>
      </c>
      <c r="JK276" s="3">
        <f t="shared" si="48"/>
        <v>0</v>
      </c>
      <c r="JL276" s="3">
        <f t="shared" si="48"/>
        <v>0</v>
      </c>
      <c r="JM276" s="3">
        <f t="shared" si="48"/>
        <v>0</v>
      </c>
      <c r="JN276" s="3">
        <f t="shared" si="48"/>
        <v>1</v>
      </c>
      <c r="JO276" s="3">
        <f t="shared" si="48"/>
        <v>0</v>
      </c>
      <c r="JP276" s="3">
        <f>JP$338</f>
        <v>0</v>
      </c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8"/>
      <c r="LZ276" s="2">
        <v>0.48847934472934501</v>
      </c>
      <c r="MA276" s="1">
        <f t="shared" si="49"/>
        <v>1</v>
      </c>
      <c r="MB276" s="1">
        <v>0.51152065999999996</v>
      </c>
      <c r="MC276" s="2">
        <v>0</v>
      </c>
      <c r="MD276" s="1">
        <f t="shared" si="50"/>
        <v>0.48847934000000004</v>
      </c>
      <c r="ME276" s="1">
        <f t="shared" si="51"/>
        <v>0.51152065999999996</v>
      </c>
    </row>
    <row r="277" spans="1:343" x14ac:dyDescent="0.2">
      <c r="A277" s="2">
        <v>17.5</v>
      </c>
      <c r="B277" s="7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>
        <f t="shared" si="48"/>
        <v>0</v>
      </c>
      <c r="JC277" s="3">
        <f t="shared" si="48"/>
        <v>0</v>
      </c>
      <c r="JD277" s="3">
        <f t="shared" si="48"/>
        <v>0</v>
      </c>
      <c r="JE277" s="3">
        <f t="shared" si="48"/>
        <v>0</v>
      </c>
      <c r="JF277" s="3">
        <f t="shared" si="48"/>
        <v>0</v>
      </c>
      <c r="JG277" s="3">
        <f t="shared" si="48"/>
        <v>0</v>
      </c>
      <c r="JH277" s="3">
        <f t="shared" si="48"/>
        <v>0</v>
      </c>
      <c r="JI277" s="3">
        <f t="shared" si="48"/>
        <v>0</v>
      </c>
      <c r="JJ277" s="3">
        <f t="shared" si="48"/>
        <v>0</v>
      </c>
      <c r="JK277" s="3">
        <f t="shared" si="48"/>
        <v>0</v>
      </c>
      <c r="JL277" s="3">
        <f t="shared" si="48"/>
        <v>0</v>
      </c>
      <c r="JM277" s="3">
        <f t="shared" si="48"/>
        <v>0</v>
      </c>
      <c r="JN277" s="3">
        <f t="shared" si="48"/>
        <v>1</v>
      </c>
      <c r="JO277" s="3">
        <f t="shared" si="48"/>
        <v>0</v>
      </c>
      <c r="JP277" s="3">
        <f t="shared" si="48"/>
        <v>0</v>
      </c>
      <c r="JQ277" s="3">
        <f>JQ$338</f>
        <v>0</v>
      </c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8"/>
      <c r="LZ277" s="2">
        <v>0.48847934472934501</v>
      </c>
      <c r="MA277" s="1">
        <f t="shared" si="49"/>
        <v>1</v>
      </c>
      <c r="MB277" s="1">
        <v>0.51152065999999996</v>
      </c>
      <c r="MC277" s="2">
        <v>0</v>
      </c>
      <c r="MD277" s="1">
        <f t="shared" si="50"/>
        <v>0.48847934000000004</v>
      </c>
      <c r="ME277" s="1">
        <f t="shared" si="51"/>
        <v>0.51152065999999996</v>
      </c>
    </row>
    <row r="278" spans="1:343" x14ac:dyDescent="0.2">
      <c r="A278" s="2">
        <v>18</v>
      </c>
      <c r="B278" s="7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>
        <f t="shared" si="48"/>
        <v>0</v>
      </c>
      <c r="JD278" s="3">
        <f t="shared" si="48"/>
        <v>0</v>
      </c>
      <c r="JE278" s="3">
        <f t="shared" si="48"/>
        <v>0</v>
      </c>
      <c r="JF278" s="3">
        <f t="shared" si="48"/>
        <v>0</v>
      </c>
      <c r="JG278" s="3">
        <f t="shared" si="48"/>
        <v>0</v>
      </c>
      <c r="JH278" s="3">
        <f t="shared" si="48"/>
        <v>0</v>
      </c>
      <c r="JI278" s="3">
        <f t="shared" si="48"/>
        <v>0</v>
      </c>
      <c r="JJ278" s="3">
        <f t="shared" si="48"/>
        <v>0</v>
      </c>
      <c r="JK278" s="3">
        <f t="shared" si="48"/>
        <v>0</v>
      </c>
      <c r="JL278" s="3">
        <f t="shared" si="48"/>
        <v>0</v>
      </c>
      <c r="JM278" s="3">
        <f t="shared" si="48"/>
        <v>0</v>
      </c>
      <c r="JN278" s="3">
        <f t="shared" si="48"/>
        <v>1</v>
      </c>
      <c r="JO278" s="3">
        <f t="shared" si="48"/>
        <v>0</v>
      </c>
      <c r="JP278" s="3">
        <f t="shared" si="48"/>
        <v>0</v>
      </c>
      <c r="JQ278" s="3">
        <f t="shared" si="48"/>
        <v>0</v>
      </c>
      <c r="JR278" s="3">
        <f>JR$338</f>
        <v>0</v>
      </c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8"/>
      <c r="LZ278" s="2">
        <v>0.55398860398860394</v>
      </c>
      <c r="MA278" s="1">
        <f t="shared" si="49"/>
        <v>1</v>
      </c>
      <c r="MB278" s="1">
        <v>0.4460114</v>
      </c>
      <c r="MC278" s="2">
        <v>0</v>
      </c>
      <c r="MD278" s="1">
        <f t="shared" si="50"/>
        <v>0.55398860000000005</v>
      </c>
      <c r="ME278" s="1">
        <f t="shared" si="51"/>
        <v>0.4460114</v>
      </c>
    </row>
    <row r="279" spans="1:343" x14ac:dyDescent="0.2">
      <c r="A279" s="2">
        <v>18.5</v>
      </c>
      <c r="B279" s="7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>
        <f t="shared" si="48"/>
        <v>0</v>
      </c>
      <c r="JE279" s="3">
        <f t="shared" si="48"/>
        <v>0</v>
      </c>
      <c r="JF279" s="3">
        <f t="shared" si="48"/>
        <v>0</v>
      </c>
      <c r="JG279" s="3">
        <f t="shared" si="48"/>
        <v>0</v>
      </c>
      <c r="JH279" s="3">
        <f t="shared" si="48"/>
        <v>0</v>
      </c>
      <c r="JI279" s="3">
        <f t="shared" si="48"/>
        <v>0</v>
      </c>
      <c r="JJ279" s="3">
        <f t="shared" si="48"/>
        <v>0</v>
      </c>
      <c r="JK279" s="3">
        <f t="shared" si="48"/>
        <v>0</v>
      </c>
      <c r="JL279" s="3">
        <f t="shared" si="48"/>
        <v>0</v>
      </c>
      <c r="JM279" s="3">
        <f t="shared" si="48"/>
        <v>0</v>
      </c>
      <c r="JN279" s="3">
        <f t="shared" si="48"/>
        <v>1</v>
      </c>
      <c r="JO279" s="3">
        <f t="shared" si="48"/>
        <v>0</v>
      </c>
      <c r="JP279" s="3">
        <f t="shared" si="48"/>
        <v>0</v>
      </c>
      <c r="JQ279" s="3">
        <f t="shared" si="48"/>
        <v>0</v>
      </c>
      <c r="JR279" s="3">
        <f t="shared" si="48"/>
        <v>0</v>
      </c>
      <c r="JS279" s="3">
        <f>JS$338</f>
        <v>0</v>
      </c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8"/>
      <c r="LZ279" s="2">
        <v>0.55398860398860394</v>
      </c>
      <c r="MA279" s="1">
        <f t="shared" si="49"/>
        <v>1</v>
      </c>
      <c r="MB279" s="1">
        <v>0.4460114</v>
      </c>
      <c r="MC279" s="2">
        <v>0</v>
      </c>
      <c r="MD279" s="1">
        <f t="shared" si="50"/>
        <v>0.55398860000000005</v>
      </c>
      <c r="ME279" s="1">
        <f t="shared" si="51"/>
        <v>0.4460114</v>
      </c>
    </row>
    <row r="280" spans="1:343" x14ac:dyDescent="0.2">
      <c r="A280" s="2">
        <v>19</v>
      </c>
      <c r="B280" s="7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>
        <f t="shared" si="48"/>
        <v>0</v>
      </c>
      <c r="JF280" s="3">
        <f t="shared" si="48"/>
        <v>0</v>
      </c>
      <c r="JG280" s="3">
        <f t="shared" si="48"/>
        <v>0</v>
      </c>
      <c r="JH280" s="3">
        <f t="shared" si="48"/>
        <v>0</v>
      </c>
      <c r="JI280" s="3">
        <f t="shared" si="48"/>
        <v>0</v>
      </c>
      <c r="JJ280" s="3">
        <f t="shared" si="48"/>
        <v>0</v>
      </c>
      <c r="JK280" s="3">
        <f t="shared" si="48"/>
        <v>0</v>
      </c>
      <c r="JL280" s="3">
        <f t="shared" si="48"/>
        <v>0</v>
      </c>
      <c r="JM280" s="3">
        <f t="shared" si="48"/>
        <v>0</v>
      </c>
      <c r="JN280" s="3">
        <f t="shared" si="48"/>
        <v>1</v>
      </c>
      <c r="JO280" s="3">
        <f t="shared" si="48"/>
        <v>0</v>
      </c>
      <c r="JP280" s="3">
        <f t="shared" si="48"/>
        <v>0</v>
      </c>
      <c r="JQ280" s="3">
        <f t="shared" si="48"/>
        <v>0</v>
      </c>
      <c r="JR280" s="3">
        <f t="shared" si="48"/>
        <v>0</v>
      </c>
      <c r="JS280" s="3">
        <f t="shared" si="48"/>
        <v>0</v>
      </c>
      <c r="JT280" s="3">
        <f>JT$338</f>
        <v>0</v>
      </c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8"/>
      <c r="LZ280" s="2">
        <v>0.62154558404558402</v>
      </c>
      <c r="MA280" s="1">
        <f t="shared" si="49"/>
        <v>1</v>
      </c>
      <c r="MB280" s="1">
        <v>0.37845442000000001</v>
      </c>
      <c r="MC280" s="2">
        <v>0</v>
      </c>
      <c r="MD280" s="1">
        <f t="shared" si="50"/>
        <v>0.62154558000000004</v>
      </c>
      <c r="ME280" s="1">
        <f t="shared" si="51"/>
        <v>0.37845442000000001</v>
      </c>
    </row>
    <row r="281" spans="1:343" x14ac:dyDescent="0.2">
      <c r="A281" s="2">
        <v>19.5</v>
      </c>
      <c r="B281" s="7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>
        <f t="shared" si="48"/>
        <v>0</v>
      </c>
      <c r="JG281" s="3">
        <f t="shared" si="48"/>
        <v>0</v>
      </c>
      <c r="JH281" s="3">
        <f t="shared" si="48"/>
        <v>0</v>
      </c>
      <c r="JI281" s="3">
        <f t="shared" si="48"/>
        <v>0</v>
      </c>
      <c r="JJ281" s="3">
        <f t="shared" si="48"/>
        <v>0</v>
      </c>
      <c r="JK281" s="3">
        <f t="shared" si="48"/>
        <v>0</v>
      </c>
      <c r="JL281" s="3">
        <f t="shared" si="48"/>
        <v>0</v>
      </c>
      <c r="JM281" s="3">
        <f t="shared" si="48"/>
        <v>0</v>
      </c>
      <c r="JN281" s="3">
        <f t="shared" si="48"/>
        <v>1</v>
      </c>
      <c r="JO281" s="3">
        <f t="shared" si="48"/>
        <v>0</v>
      </c>
      <c r="JP281" s="3">
        <f t="shared" si="48"/>
        <v>0</v>
      </c>
      <c r="JQ281" s="3">
        <f t="shared" si="48"/>
        <v>0</v>
      </c>
      <c r="JR281" s="3">
        <f t="shared" si="48"/>
        <v>0</v>
      </c>
      <c r="JS281" s="3">
        <f t="shared" si="48"/>
        <v>0</v>
      </c>
      <c r="JT281" s="3">
        <f t="shared" si="48"/>
        <v>0</v>
      </c>
      <c r="JU281" s="3">
        <f>JU$338</f>
        <v>0</v>
      </c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8"/>
      <c r="LZ281" s="2">
        <v>0.62154558404558402</v>
      </c>
      <c r="MA281" s="1">
        <f t="shared" si="49"/>
        <v>1</v>
      </c>
      <c r="MB281" s="1">
        <v>0.37845442000000001</v>
      </c>
      <c r="MC281" s="2">
        <v>0</v>
      </c>
      <c r="MD281" s="1">
        <f t="shared" si="50"/>
        <v>0.62154558000000004</v>
      </c>
      <c r="ME281" s="1">
        <f t="shared" si="51"/>
        <v>0.37845442000000001</v>
      </c>
    </row>
    <row r="282" spans="1:343" x14ac:dyDescent="0.2">
      <c r="A282" s="2">
        <v>20</v>
      </c>
      <c r="B282" s="7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>
        <f t="shared" si="48"/>
        <v>0</v>
      </c>
      <c r="JH282" s="3">
        <f t="shared" si="48"/>
        <v>0</v>
      </c>
      <c r="JI282" s="3">
        <f t="shared" si="48"/>
        <v>0</v>
      </c>
      <c r="JJ282" s="3">
        <f t="shared" si="48"/>
        <v>0</v>
      </c>
      <c r="JK282" s="3">
        <f t="shared" si="48"/>
        <v>0</v>
      </c>
      <c r="JL282" s="3">
        <f t="shared" si="48"/>
        <v>0</v>
      </c>
      <c r="JM282" s="3">
        <f t="shared" si="48"/>
        <v>0</v>
      </c>
      <c r="JN282" s="3">
        <f t="shared" si="48"/>
        <v>1</v>
      </c>
      <c r="JO282" s="3">
        <f t="shared" si="48"/>
        <v>0</v>
      </c>
      <c r="JP282" s="3">
        <f t="shared" si="48"/>
        <v>0</v>
      </c>
      <c r="JQ282" s="3">
        <f t="shared" si="48"/>
        <v>0</v>
      </c>
      <c r="JR282" s="3">
        <f t="shared" si="48"/>
        <v>0</v>
      </c>
      <c r="JS282" s="3">
        <f t="shared" si="48"/>
        <v>0</v>
      </c>
      <c r="JT282" s="3">
        <f t="shared" si="48"/>
        <v>0</v>
      </c>
      <c r="JU282" s="3">
        <f t="shared" si="48"/>
        <v>0</v>
      </c>
      <c r="JV282" s="3">
        <f>JV$338</f>
        <v>0</v>
      </c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8"/>
      <c r="LZ282" s="2">
        <v>0.65982905982906004</v>
      </c>
      <c r="MA282" s="1">
        <f t="shared" si="49"/>
        <v>1</v>
      </c>
      <c r="MB282" s="1">
        <v>0.34017093999999998</v>
      </c>
      <c r="MC282" s="2">
        <v>0</v>
      </c>
      <c r="MD282" s="1">
        <f t="shared" si="50"/>
        <v>0.65982906000000008</v>
      </c>
      <c r="ME282" s="1">
        <f t="shared" si="51"/>
        <v>0.34017093999999998</v>
      </c>
    </row>
    <row r="283" spans="1:343" x14ac:dyDescent="0.2">
      <c r="A283" s="2">
        <v>20.5</v>
      </c>
      <c r="B283" s="7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>
        <f t="shared" ref="JH283:KC304" si="52">JH$338</f>
        <v>0</v>
      </c>
      <c r="JI283" s="3">
        <f t="shared" si="52"/>
        <v>0</v>
      </c>
      <c r="JJ283" s="3">
        <f t="shared" si="52"/>
        <v>0</v>
      </c>
      <c r="JK283" s="3">
        <f t="shared" si="52"/>
        <v>0</v>
      </c>
      <c r="JL283" s="3">
        <f t="shared" si="52"/>
        <v>0</v>
      </c>
      <c r="JM283" s="3">
        <f t="shared" si="52"/>
        <v>0</v>
      </c>
      <c r="JN283" s="3">
        <f t="shared" si="52"/>
        <v>1</v>
      </c>
      <c r="JO283" s="3">
        <f t="shared" si="52"/>
        <v>0</v>
      </c>
      <c r="JP283" s="3">
        <f t="shared" si="52"/>
        <v>0</v>
      </c>
      <c r="JQ283" s="3">
        <f t="shared" si="52"/>
        <v>0</v>
      </c>
      <c r="JR283" s="3">
        <f t="shared" si="52"/>
        <v>0</v>
      </c>
      <c r="JS283" s="3">
        <f t="shared" si="52"/>
        <v>0</v>
      </c>
      <c r="JT283" s="3">
        <f t="shared" si="52"/>
        <v>0</v>
      </c>
      <c r="JU283" s="3">
        <f t="shared" si="52"/>
        <v>0</v>
      </c>
      <c r="JV283" s="3">
        <f t="shared" si="52"/>
        <v>0</v>
      </c>
      <c r="JW283" s="3">
        <f>JW$338</f>
        <v>0</v>
      </c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8"/>
      <c r="LZ283" s="2">
        <v>0.65982905982906004</v>
      </c>
      <c r="MA283" s="1">
        <f t="shared" si="49"/>
        <v>1</v>
      </c>
      <c r="MB283" s="1">
        <v>0.34017093999999998</v>
      </c>
      <c r="MC283" s="2">
        <v>0</v>
      </c>
      <c r="MD283" s="1">
        <f t="shared" si="50"/>
        <v>0.65982906000000008</v>
      </c>
      <c r="ME283" s="1">
        <f t="shared" si="51"/>
        <v>0.34017093999999998</v>
      </c>
    </row>
    <row r="284" spans="1:343" x14ac:dyDescent="0.2">
      <c r="A284" s="2">
        <v>21</v>
      </c>
      <c r="B284" s="7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>
        <f t="shared" si="52"/>
        <v>0</v>
      </c>
      <c r="JJ284" s="3">
        <f t="shared" si="52"/>
        <v>0</v>
      </c>
      <c r="JK284" s="3">
        <f t="shared" si="52"/>
        <v>0</v>
      </c>
      <c r="JL284" s="3">
        <f t="shared" si="52"/>
        <v>0</v>
      </c>
      <c r="JM284" s="3">
        <f t="shared" si="52"/>
        <v>0</v>
      </c>
      <c r="JN284" s="3">
        <f t="shared" si="52"/>
        <v>1</v>
      </c>
      <c r="JO284" s="3">
        <f t="shared" si="52"/>
        <v>0</v>
      </c>
      <c r="JP284" s="3">
        <f t="shared" si="52"/>
        <v>0</v>
      </c>
      <c r="JQ284" s="3">
        <f t="shared" si="52"/>
        <v>0</v>
      </c>
      <c r="JR284" s="3">
        <f t="shared" si="52"/>
        <v>0</v>
      </c>
      <c r="JS284" s="3">
        <f t="shared" si="52"/>
        <v>0</v>
      </c>
      <c r="JT284" s="3">
        <f t="shared" si="52"/>
        <v>0</v>
      </c>
      <c r="JU284" s="3">
        <f t="shared" si="52"/>
        <v>0</v>
      </c>
      <c r="JV284" s="3">
        <f t="shared" si="52"/>
        <v>0</v>
      </c>
      <c r="JW284" s="3">
        <f t="shared" si="52"/>
        <v>0</v>
      </c>
      <c r="JX284" s="3">
        <f>JX$338</f>
        <v>0</v>
      </c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8"/>
      <c r="LZ284" s="2">
        <v>0.64782763532763499</v>
      </c>
      <c r="MA284" s="1">
        <f t="shared" si="49"/>
        <v>1</v>
      </c>
      <c r="MB284" s="1">
        <v>0.35217236000000002</v>
      </c>
      <c r="MC284" s="2">
        <v>0</v>
      </c>
      <c r="MD284" s="1">
        <f t="shared" si="50"/>
        <v>0.64782764000000004</v>
      </c>
      <c r="ME284" s="1">
        <f t="shared" si="51"/>
        <v>0.35217236000000002</v>
      </c>
    </row>
    <row r="285" spans="1:343" x14ac:dyDescent="0.2">
      <c r="A285" s="2">
        <v>21.5</v>
      </c>
      <c r="B285" s="7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>
        <f t="shared" si="52"/>
        <v>0</v>
      </c>
      <c r="JK285" s="3">
        <f t="shared" si="52"/>
        <v>0</v>
      </c>
      <c r="JL285" s="3">
        <f t="shared" si="52"/>
        <v>0</v>
      </c>
      <c r="JM285" s="3">
        <f t="shared" si="52"/>
        <v>0</v>
      </c>
      <c r="JN285" s="3">
        <f t="shared" si="52"/>
        <v>1</v>
      </c>
      <c r="JO285" s="3">
        <f t="shared" si="52"/>
        <v>0</v>
      </c>
      <c r="JP285" s="3">
        <f t="shared" si="52"/>
        <v>0</v>
      </c>
      <c r="JQ285" s="3">
        <f t="shared" si="52"/>
        <v>0</v>
      </c>
      <c r="JR285" s="3">
        <f t="shared" si="52"/>
        <v>0</v>
      </c>
      <c r="JS285" s="3">
        <f t="shared" si="52"/>
        <v>0</v>
      </c>
      <c r="JT285" s="3">
        <f t="shared" si="52"/>
        <v>0</v>
      </c>
      <c r="JU285" s="3">
        <f t="shared" si="52"/>
        <v>0</v>
      </c>
      <c r="JV285" s="3">
        <f t="shared" si="52"/>
        <v>0</v>
      </c>
      <c r="JW285" s="3">
        <f t="shared" si="52"/>
        <v>0</v>
      </c>
      <c r="JX285" s="3">
        <f t="shared" si="52"/>
        <v>0</v>
      </c>
      <c r="JY285" s="3">
        <f>JY$338</f>
        <v>0</v>
      </c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8"/>
      <c r="LZ285" s="2">
        <v>0.64782763532763499</v>
      </c>
      <c r="MA285" s="1">
        <f t="shared" si="49"/>
        <v>1</v>
      </c>
      <c r="MB285" s="1">
        <v>0.35217236000000002</v>
      </c>
      <c r="MC285" s="2">
        <v>0</v>
      </c>
      <c r="MD285" s="1">
        <f t="shared" si="50"/>
        <v>0.64782764000000004</v>
      </c>
      <c r="ME285" s="1">
        <f t="shared" si="51"/>
        <v>0.35217236000000002</v>
      </c>
    </row>
    <row r="286" spans="1:343" x14ac:dyDescent="0.2">
      <c r="A286" s="2">
        <v>22</v>
      </c>
      <c r="B286" s="7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>
        <f t="shared" si="52"/>
        <v>0</v>
      </c>
      <c r="JL286" s="3">
        <f t="shared" si="52"/>
        <v>0</v>
      </c>
      <c r="JM286" s="3">
        <f t="shared" si="52"/>
        <v>0</v>
      </c>
      <c r="JN286" s="3">
        <f t="shared" si="52"/>
        <v>1</v>
      </c>
      <c r="JO286" s="3">
        <f t="shared" si="52"/>
        <v>0</v>
      </c>
      <c r="JP286" s="3">
        <f t="shared" si="52"/>
        <v>0</v>
      </c>
      <c r="JQ286" s="3">
        <f t="shared" si="52"/>
        <v>0</v>
      </c>
      <c r="JR286" s="3">
        <f t="shared" si="52"/>
        <v>0</v>
      </c>
      <c r="JS286" s="3">
        <f t="shared" si="52"/>
        <v>0</v>
      </c>
      <c r="JT286" s="3">
        <f t="shared" si="52"/>
        <v>0</v>
      </c>
      <c r="JU286" s="3">
        <f t="shared" si="52"/>
        <v>0</v>
      </c>
      <c r="JV286" s="3">
        <f t="shared" si="52"/>
        <v>0</v>
      </c>
      <c r="JW286" s="3">
        <f t="shared" si="52"/>
        <v>0</v>
      </c>
      <c r="JX286" s="3">
        <f t="shared" si="52"/>
        <v>0</v>
      </c>
      <c r="JY286" s="3">
        <f t="shared" si="52"/>
        <v>0</v>
      </c>
      <c r="JZ286" s="3">
        <f>JZ$338</f>
        <v>0</v>
      </c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8"/>
      <c r="LZ286" s="2">
        <v>0.57802706552706595</v>
      </c>
      <c r="MA286" s="1">
        <f t="shared" si="49"/>
        <v>1</v>
      </c>
      <c r="MB286" s="1">
        <v>0.42197293000000002</v>
      </c>
      <c r="MC286" s="2">
        <v>0</v>
      </c>
      <c r="MD286" s="1">
        <f t="shared" si="50"/>
        <v>0.57802706999999998</v>
      </c>
      <c r="ME286" s="1">
        <f t="shared" si="51"/>
        <v>0.42197293000000002</v>
      </c>
    </row>
    <row r="287" spans="1:343" x14ac:dyDescent="0.2">
      <c r="A287" s="2">
        <v>22.5</v>
      </c>
      <c r="B287" s="7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>
        <f t="shared" si="52"/>
        <v>0</v>
      </c>
      <c r="JM287" s="3">
        <f t="shared" si="52"/>
        <v>0</v>
      </c>
      <c r="JN287" s="3">
        <f t="shared" si="52"/>
        <v>1</v>
      </c>
      <c r="JO287" s="3">
        <f t="shared" si="52"/>
        <v>0</v>
      </c>
      <c r="JP287" s="3">
        <f t="shared" si="52"/>
        <v>0</v>
      </c>
      <c r="JQ287" s="3">
        <f t="shared" si="52"/>
        <v>0</v>
      </c>
      <c r="JR287" s="3">
        <f t="shared" si="52"/>
        <v>0</v>
      </c>
      <c r="JS287" s="3">
        <f t="shared" si="52"/>
        <v>0</v>
      </c>
      <c r="JT287" s="3">
        <f t="shared" si="52"/>
        <v>0</v>
      </c>
      <c r="JU287" s="3">
        <f t="shared" si="52"/>
        <v>0</v>
      </c>
      <c r="JV287" s="3">
        <f t="shared" si="52"/>
        <v>0</v>
      </c>
      <c r="JW287" s="3">
        <f t="shared" si="52"/>
        <v>0</v>
      </c>
      <c r="JX287" s="3">
        <f t="shared" si="52"/>
        <v>0</v>
      </c>
      <c r="JY287" s="3">
        <f t="shared" si="52"/>
        <v>0</v>
      </c>
      <c r="JZ287" s="3">
        <f t="shared" si="52"/>
        <v>0</v>
      </c>
      <c r="KA287" s="3">
        <f>KA$338</f>
        <v>0</v>
      </c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8"/>
      <c r="LZ287" s="2">
        <v>0.57802706552706595</v>
      </c>
      <c r="MA287" s="1">
        <f t="shared" si="49"/>
        <v>1</v>
      </c>
      <c r="MB287" s="1">
        <v>0.42197293000000002</v>
      </c>
      <c r="MC287" s="2">
        <v>0</v>
      </c>
      <c r="MD287" s="1">
        <f t="shared" si="50"/>
        <v>0.57802706999999998</v>
      </c>
      <c r="ME287" s="1">
        <f t="shared" si="51"/>
        <v>0.42197293000000002</v>
      </c>
    </row>
    <row r="288" spans="1:343" x14ac:dyDescent="0.2">
      <c r="A288" s="2">
        <v>23</v>
      </c>
      <c r="B288" s="7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>
        <f t="shared" si="52"/>
        <v>0</v>
      </c>
      <c r="JN288" s="3">
        <f t="shared" si="52"/>
        <v>1</v>
      </c>
      <c r="JO288" s="3">
        <f t="shared" si="52"/>
        <v>0</v>
      </c>
      <c r="JP288" s="3">
        <f t="shared" si="52"/>
        <v>0</v>
      </c>
      <c r="JQ288" s="3">
        <f t="shared" si="52"/>
        <v>0</v>
      </c>
      <c r="JR288" s="3">
        <f t="shared" si="52"/>
        <v>0</v>
      </c>
      <c r="JS288" s="3">
        <f t="shared" si="52"/>
        <v>0</v>
      </c>
      <c r="JT288" s="3">
        <f t="shared" si="52"/>
        <v>0</v>
      </c>
      <c r="JU288" s="3">
        <f t="shared" si="52"/>
        <v>0</v>
      </c>
      <c r="JV288" s="3">
        <f t="shared" si="52"/>
        <v>0</v>
      </c>
      <c r="JW288" s="3">
        <f t="shared" si="52"/>
        <v>0</v>
      </c>
      <c r="JX288" s="3">
        <f t="shared" si="52"/>
        <v>0</v>
      </c>
      <c r="JY288" s="3">
        <f t="shared" si="52"/>
        <v>0</v>
      </c>
      <c r="JZ288" s="3">
        <f t="shared" si="52"/>
        <v>0</v>
      </c>
      <c r="KA288" s="3">
        <f t="shared" si="52"/>
        <v>0</v>
      </c>
      <c r="KB288" s="3">
        <f>KB$338</f>
        <v>0</v>
      </c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8"/>
      <c r="LZ288" s="2">
        <v>0.44626068376068401</v>
      </c>
      <c r="MA288" s="1">
        <f t="shared" si="49"/>
        <v>1</v>
      </c>
      <c r="MB288" s="1">
        <v>0.55373932000000003</v>
      </c>
      <c r="MC288" s="2">
        <v>0</v>
      </c>
      <c r="MD288" s="1">
        <f t="shared" si="50"/>
        <v>0.44626067999999997</v>
      </c>
      <c r="ME288" s="1">
        <f t="shared" si="51"/>
        <v>0.55373932000000003</v>
      </c>
    </row>
    <row r="289" spans="1:343" x14ac:dyDescent="0.2">
      <c r="A289" s="2">
        <v>23.5</v>
      </c>
      <c r="B289" s="7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>
        <f t="shared" si="52"/>
        <v>1</v>
      </c>
      <c r="JO289" s="3">
        <f t="shared" si="52"/>
        <v>0</v>
      </c>
      <c r="JP289" s="3">
        <f t="shared" si="52"/>
        <v>0</v>
      </c>
      <c r="JQ289" s="3">
        <f t="shared" si="52"/>
        <v>0</v>
      </c>
      <c r="JR289" s="3">
        <f t="shared" si="52"/>
        <v>0</v>
      </c>
      <c r="JS289" s="3">
        <f t="shared" si="52"/>
        <v>0</v>
      </c>
      <c r="JT289" s="3">
        <f t="shared" si="52"/>
        <v>0</v>
      </c>
      <c r="JU289" s="3">
        <f t="shared" si="52"/>
        <v>0</v>
      </c>
      <c r="JV289" s="3">
        <f t="shared" si="52"/>
        <v>0</v>
      </c>
      <c r="JW289" s="3">
        <f t="shared" si="52"/>
        <v>0</v>
      </c>
      <c r="JX289" s="3">
        <f t="shared" si="52"/>
        <v>0</v>
      </c>
      <c r="JY289" s="3">
        <f t="shared" si="52"/>
        <v>0</v>
      </c>
      <c r="JZ289" s="3">
        <f t="shared" si="52"/>
        <v>0</v>
      </c>
      <c r="KA289" s="3">
        <f t="shared" si="52"/>
        <v>0</v>
      </c>
      <c r="KB289" s="3">
        <f t="shared" si="52"/>
        <v>0</v>
      </c>
      <c r="KC289" s="3">
        <f>KC$338</f>
        <v>0</v>
      </c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8"/>
      <c r="LZ289" s="2">
        <v>0.44626068376068401</v>
      </c>
      <c r="MA289" s="1">
        <f t="shared" si="49"/>
        <v>1</v>
      </c>
      <c r="MB289" s="1">
        <v>0.55373932000000003</v>
      </c>
      <c r="MC289" s="2">
        <v>0</v>
      </c>
      <c r="MD289" s="1">
        <f t="shared" si="50"/>
        <v>0.44626067999999997</v>
      </c>
      <c r="ME289" s="1">
        <f t="shared" si="51"/>
        <v>0.55373932000000003</v>
      </c>
    </row>
    <row r="290" spans="1:343" x14ac:dyDescent="0.2">
      <c r="A290" s="2">
        <v>0</v>
      </c>
      <c r="B290" s="7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>
        <f t="shared" si="52"/>
        <v>0</v>
      </c>
      <c r="JP290" s="3">
        <f t="shared" si="52"/>
        <v>0</v>
      </c>
      <c r="JQ290" s="3">
        <f t="shared" si="52"/>
        <v>0</v>
      </c>
      <c r="JR290" s="3">
        <f t="shared" si="52"/>
        <v>0</v>
      </c>
      <c r="JS290" s="3">
        <f t="shared" si="52"/>
        <v>0</v>
      </c>
      <c r="JT290" s="3">
        <f t="shared" si="52"/>
        <v>0</v>
      </c>
      <c r="JU290" s="3">
        <f t="shared" si="52"/>
        <v>0</v>
      </c>
      <c r="JV290" s="3">
        <f t="shared" si="52"/>
        <v>0</v>
      </c>
      <c r="JW290" s="3">
        <f t="shared" si="52"/>
        <v>0</v>
      </c>
      <c r="JX290" s="3">
        <f t="shared" si="52"/>
        <v>0</v>
      </c>
      <c r="JY290" s="3">
        <f t="shared" si="52"/>
        <v>0</v>
      </c>
      <c r="JZ290" s="3">
        <f t="shared" si="52"/>
        <v>0</v>
      </c>
      <c r="KA290" s="3">
        <f t="shared" si="52"/>
        <v>0</v>
      </c>
      <c r="KB290" s="3">
        <f t="shared" si="52"/>
        <v>0</v>
      </c>
      <c r="KC290" s="3">
        <f t="shared" si="52"/>
        <v>0</v>
      </c>
      <c r="KD290" s="3">
        <f>KD$338</f>
        <v>0</v>
      </c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8"/>
      <c r="LZ290" s="2">
        <v>0.31080840455840503</v>
      </c>
      <c r="MA290" s="1">
        <f t="shared" si="49"/>
        <v>0</v>
      </c>
      <c r="MB290" s="1">
        <v>0</v>
      </c>
      <c r="MC290" s="2">
        <v>0.31080839999999998</v>
      </c>
      <c r="MD290" s="1">
        <f t="shared" si="50"/>
        <v>0.31080839999999998</v>
      </c>
      <c r="ME290" s="1">
        <f t="shared" si="51"/>
        <v>0.31080839999999998</v>
      </c>
    </row>
    <row r="291" spans="1:343" x14ac:dyDescent="0.2">
      <c r="A291" s="2">
        <v>0.5</v>
      </c>
      <c r="B291" s="7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>
        <f t="shared" si="52"/>
        <v>0</v>
      </c>
      <c r="JQ291" s="3">
        <f t="shared" si="52"/>
        <v>0</v>
      </c>
      <c r="JR291" s="3">
        <f t="shared" si="52"/>
        <v>0</v>
      </c>
      <c r="JS291" s="3">
        <f t="shared" si="52"/>
        <v>0</v>
      </c>
      <c r="JT291" s="3">
        <f t="shared" si="52"/>
        <v>0</v>
      </c>
      <c r="JU291" s="3">
        <f t="shared" si="52"/>
        <v>0</v>
      </c>
      <c r="JV291" s="3">
        <f t="shared" si="52"/>
        <v>0</v>
      </c>
      <c r="JW291" s="3">
        <f t="shared" si="52"/>
        <v>0</v>
      </c>
      <c r="JX291" s="3">
        <f t="shared" si="52"/>
        <v>0</v>
      </c>
      <c r="JY291" s="3">
        <f t="shared" si="52"/>
        <v>0</v>
      </c>
      <c r="JZ291" s="3">
        <f t="shared" si="52"/>
        <v>0</v>
      </c>
      <c r="KA291" s="3">
        <f t="shared" si="52"/>
        <v>0</v>
      </c>
      <c r="KB291" s="3">
        <f t="shared" si="52"/>
        <v>0</v>
      </c>
      <c r="KC291" s="3">
        <f t="shared" si="52"/>
        <v>0</v>
      </c>
      <c r="KD291" s="3">
        <f t="shared" ref="KD291:LA314" si="53">KD$338</f>
        <v>0</v>
      </c>
      <c r="KE291" s="3">
        <f>KE$338</f>
        <v>0</v>
      </c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8"/>
      <c r="LZ291" s="2">
        <v>0.31080840455840503</v>
      </c>
      <c r="MA291" s="1">
        <f t="shared" si="49"/>
        <v>0</v>
      </c>
      <c r="MB291" s="1">
        <v>0</v>
      </c>
      <c r="MC291" s="2">
        <v>0.31080839999999998</v>
      </c>
      <c r="MD291" s="1">
        <f t="shared" si="50"/>
        <v>0.31080839999999998</v>
      </c>
      <c r="ME291" s="1">
        <f t="shared" si="51"/>
        <v>0.31080839999999998</v>
      </c>
    </row>
    <row r="292" spans="1:343" x14ac:dyDescent="0.2">
      <c r="A292" s="2">
        <v>1</v>
      </c>
      <c r="B292" s="7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>
        <f t="shared" si="52"/>
        <v>0</v>
      </c>
      <c r="JR292" s="3">
        <f t="shared" si="52"/>
        <v>0</v>
      </c>
      <c r="JS292" s="3">
        <f t="shared" si="52"/>
        <v>0</v>
      </c>
      <c r="JT292" s="3">
        <f t="shared" si="52"/>
        <v>0</v>
      </c>
      <c r="JU292" s="3">
        <f t="shared" si="52"/>
        <v>0</v>
      </c>
      <c r="JV292" s="3">
        <f t="shared" si="52"/>
        <v>0</v>
      </c>
      <c r="JW292" s="3">
        <f t="shared" si="52"/>
        <v>0</v>
      </c>
      <c r="JX292" s="3">
        <f t="shared" si="52"/>
        <v>0</v>
      </c>
      <c r="JY292" s="3">
        <f t="shared" si="52"/>
        <v>0</v>
      </c>
      <c r="JZ292" s="3">
        <f t="shared" si="52"/>
        <v>0</v>
      </c>
      <c r="KA292" s="3">
        <f t="shared" si="52"/>
        <v>0</v>
      </c>
      <c r="KB292" s="3">
        <f t="shared" si="52"/>
        <v>0</v>
      </c>
      <c r="KC292" s="3">
        <f t="shared" si="52"/>
        <v>0</v>
      </c>
      <c r="KD292" s="3">
        <f t="shared" si="53"/>
        <v>0</v>
      </c>
      <c r="KE292" s="3">
        <f t="shared" si="53"/>
        <v>0</v>
      </c>
      <c r="KF292" s="3">
        <f>KF$338</f>
        <v>0</v>
      </c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8"/>
      <c r="LZ292" s="2">
        <v>0.21392450142450101</v>
      </c>
      <c r="MA292" s="1">
        <f t="shared" si="49"/>
        <v>0</v>
      </c>
      <c r="MB292" s="1">
        <v>0</v>
      </c>
      <c r="MC292" s="2">
        <v>0.21392449999999999</v>
      </c>
      <c r="MD292" s="1">
        <f t="shared" si="50"/>
        <v>0.21392449999999999</v>
      </c>
      <c r="ME292" s="1">
        <f t="shared" si="51"/>
        <v>0.21392449999999999</v>
      </c>
    </row>
    <row r="293" spans="1:343" x14ac:dyDescent="0.2">
      <c r="A293" s="2">
        <v>1.5</v>
      </c>
      <c r="B293" s="7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>
        <f t="shared" si="52"/>
        <v>0</v>
      </c>
      <c r="JS293" s="3">
        <f t="shared" si="52"/>
        <v>0</v>
      </c>
      <c r="JT293" s="3">
        <f t="shared" si="52"/>
        <v>0</v>
      </c>
      <c r="JU293" s="3">
        <f t="shared" si="52"/>
        <v>0</v>
      </c>
      <c r="JV293" s="3">
        <f t="shared" si="52"/>
        <v>0</v>
      </c>
      <c r="JW293" s="3">
        <f t="shared" si="52"/>
        <v>0</v>
      </c>
      <c r="JX293" s="3">
        <f t="shared" si="52"/>
        <v>0</v>
      </c>
      <c r="JY293" s="3">
        <f t="shared" si="52"/>
        <v>0</v>
      </c>
      <c r="JZ293" s="3">
        <f t="shared" si="52"/>
        <v>0</v>
      </c>
      <c r="KA293" s="3">
        <f t="shared" si="52"/>
        <v>0</v>
      </c>
      <c r="KB293" s="3">
        <f t="shared" si="52"/>
        <v>0</v>
      </c>
      <c r="KC293" s="3">
        <f t="shared" si="52"/>
        <v>0</v>
      </c>
      <c r="KD293" s="3">
        <f t="shared" si="53"/>
        <v>0</v>
      </c>
      <c r="KE293" s="3">
        <f t="shared" si="53"/>
        <v>0</v>
      </c>
      <c r="KF293" s="3">
        <f t="shared" si="53"/>
        <v>0</v>
      </c>
      <c r="KG293" s="3">
        <f>KG$338</f>
        <v>0</v>
      </c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8"/>
      <c r="LZ293" s="2">
        <v>0.21392450142450101</v>
      </c>
      <c r="MA293" s="1">
        <f t="shared" si="49"/>
        <v>0</v>
      </c>
      <c r="MB293" s="1">
        <v>0</v>
      </c>
      <c r="MC293" s="2">
        <v>0.21392449999999999</v>
      </c>
      <c r="MD293" s="1">
        <f t="shared" si="50"/>
        <v>0.21392449999999999</v>
      </c>
      <c r="ME293" s="1">
        <f t="shared" si="51"/>
        <v>0.21392449999999999</v>
      </c>
    </row>
    <row r="294" spans="1:343" x14ac:dyDescent="0.2">
      <c r="A294" s="2">
        <v>2</v>
      </c>
      <c r="B294" s="7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>
        <f t="shared" si="52"/>
        <v>0</v>
      </c>
      <c r="JT294" s="3">
        <f t="shared" si="52"/>
        <v>0</v>
      </c>
      <c r="JU294" s="3">
        <f t="shared" si="52"/>
        <v>0</v>
      </c>
      <c r="JV294" s="3">
        <f t="shared" si="52"/>
        <v>0</v>
      </c>
      <c r="JW294" s="3">
        <f t="shared" si="52"/>
        <v>0</v>
      </c>
      <c r="JX294" s="3">
        <f t="shared" si="52"/>
        <v>0</v>
      </c>
      <c r="JY294" s="3">
        <f t="shared" si="52"/>
        <v>0</v>
      </c>
      <c r="JZ294" s="3">
        <f t="shared" si="52"/>
        <v>0</v>
      </c>
      <c r="KA294" s="3">
        <f t="shared" si="52"/>
        <v>0</v>
      </c>
      <c r="KB294" s="3">
        <f t="shared" si="52"/>
        <v>0</v>
      </c>
      <c r="KC294" s="3">
        <f t="shared" si="52"/>
        <v>0</v>
      </c>
      <c r="KD294" s="3">
        <f t="shared" si="53"/>
        <v>0</v>
      </c>
      <c r="KE294" s="3">
        <f t="shared" si="53"/>
        <v>0</v>
      </c>
      <c r="KF294" s="3">
        <f t="shared" si="53"/>
        <v>0</v>
      </c>
      <c r="KG294" s="3">
        <f t="shared" si="53"/>
        <v>0</v>
      </c>
      <c r="KH294" s="3">
        <f>KH$338</f>
        <v>0</v>
      </c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8"/>
      <c r="LZ294" s="2">
        <v>0.15352564102564101</v>
      </c>
      <c r="MA294" s="1">
        <f t="shared" si="49"/>
        <v>0</v>
      </c>
      <c r="MB294" s="1">
        <v>0</v>
      </c>
      <c r="MC294" s="2">
        <v>0.15352563999999999</v>
      </c>
      <c r="MD294" s="1">
        <f t="shared" si="50"/>
        <v>0.15352563999999999</v>
      </c>
      <c r="ME294" s="1">
        <f t="shared" si="51"/>
        <v>0.15352563999999999</v>
      </c>
    </row>
    <row r="295" spans="1:343" x14ac:dyDescent="0.2">
      <c r="A295" s="2">
        <v>2.5</v>
      </c>
      <c r="B295" s="7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>
        <f t="shared" si="52"/>
        <v>0</v>
      </c>
      <c r="JU295" s="3">
        <f t="shared" si="52"/>
        <v>0</v>
      </c>
      <c r="JV295" s="3">
        <f t="shared" si="52"/>
        <v>0</v>
      </c>
      <c r="JW295" s="3">
        <f t="shared" si="52"/>
        <v>0</v>
      </c>
      <c r="JX295" s="3">
        <f t="shared" si="52"/>
        <v>0</v>
      </c>
      <c r="JY295" s="3">
        <f t="shared" si="52"/>
        <v>0</v>
      </c>
      <c r="JZ295" s="3">
        <f t="shared" si="52"/>
        <v>0</v>
      </c>
      <c r="KA295" s="3">
        <f t="shared" si="52"/>
        <v>0</v>
      </c>
      <c r="KB295" s="3">
        <f t="shared" si="52"/>
        <v>0</v>
      </c>
      <c r="KC295" s="3">
        <f t="shared" si="52"/>
        <v>0</v>
      </c>
      <c r="KD295" s="3">
        <f t="shared" si="53"/>
        <v>0</v>
      </c>
      <c r="KE295" s="3">
        <f t="shared" si="53"/>
        <v>0</v>
      </c>
      <c r="KF295" s="3">
        <f t="shared" si="53"/>
        <v>0</v>
      </c>
      <c r="KG295" s="3">
        <f t="shared" si="53"/>
        <v>0</v>
      </c>
      <c r="KH295" s="3">
        <f t="shared" si="53"/>
        <v>0</v>
      </c>
      <c r="KI295" s="3">
        <f>KI$338</f>
        <v>0</v>
      </c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8"/>
      <c r="LZ295" s="2">
        <v>0.15352564102564101</v>
      </c>
      <c r="MA295" s="1">
        <f t="shared" si="49"/>
        <v>0</v>
      </c>
      <c r="MB295" s="1">
        <v>0</v>
      </c>
      <c r="MC295" s="2">
        <v>0.15352563999999999</v>
      </c>
      <c r="MD295" s="1">
        <f t="shared" si="50"/>
        <v>0.15352563999999999</v>
      </c>
      <c r="ME295" s="1">
        <f t="shared" si="51"/>
        <v>0.15352563999999999</v>
      </c>
    </row>
    <row r="296" spans="1:343" x14ac:dyDescent="0.2">
      <c r="A296" s="2">
        <v>3</v>
      </c>
      <c r="B296" s="7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>
        <f t="shared" si="52"/>
        <v>0</v>
      </c>
      <c r="JV296" s="3">
        <f t="shared" si="52"/>
        <v>0</v>
      </c>
      <c r="JW296" s="3">
        <f t="shared" si="52"/>
        <v>0</v>
      </c>
      <c r="JX296" s="3">
        <f t="shared" si="52"/>
        <v>0</v>
      </c>
      <c r="JY296" s="3">
        <f t="shared" si="52"/>
        <v>0</v>
      </c>
      <c r="JZ296" s="3">
        <f t="shared" si="52"/>
        <v>0</v>
      </c>
      <c r="KA296" s="3">
        <f t="shared" si="52"/>
        <v>0</v>
      </c>
      <c r="KB296" s="3">
        <f t="shared" si="52"/>
        <v>0</v>
      </c>
      <c r="KC296" s="3">
        <f t="shared" si="52"/>
        <v>0</v>
      </c>
      <c r="KD296" s="3">
        <f t="shared" si="53"/>
        <v>0</v>
      </c>
      <c r="KE296" s="3">
        <f t="shared" si="53"/>
        <v>0</v>
      </c>
      <c r="KF296" s="3">
        <f t="shared" si="53"/>
        <v>0</v>
      </c>
      <c r="KG296" s="3">
        <f t="shared" si="53"/>
        <v>0</v>
      </c>
      <c r="KH296" s="3">
        <f t="shared" si="53"/>
        <v>0</v>
      </c>
      <c r="KI296" s="3">
        <f t="shared" si="53"/>
        <v>0</v>
      </c>
      <c r="KJ296" s="3">
        <f>KJ$338</f>
        <v>0</v>
      </c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8"/>
      <c r="LZ296" s="2">
        <v>0.108974358974359</v>
      </c>
      <c r="MA296" s="1">
        <f t="shared" si="49"/>
        <v>0</v>
      </c>
      <c r="MB296" s="1">
        <v>0</v>
      </c>
      <c r="MC296" s="2">
        <v>0.10897436000000001</v>
      </c>
      <c r="MD296" s="1">
        <f t="shared" si="50"/>
        <v>0.10897436000000001</v>
      </c>
      <c r="ME296" s="1">
        <f t="shared" si="51"/>
        <v>0.10897436000000001</v>
      </c>
    </row>
    <row r="297" spans="1:343" x14ac:dyDescent="0.2">
      <c r="A297" s="2">
        <v>3.5</v>
      </c>
      <c r="B297" s="7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>
        <f t="shared" si="52"/>
        <v>0</v>
      </c>
      <c r="JW297" s="3">
        <f t="shared" si="52"/>
        <v>0</v>
      </c>
      <c r="JX297" s="3">
        <f t="shared" si="52"/>
        <v>0</v>
      </c>
      <c r="JY297" s="3">
        <f t="shared" si="52"/>
        <v>0</v>
      </c>
      <c r="JZ297" s="3">
        <f t="shared" si="52"/>
        <v>0</v>
      </c>
      <c r="KA297" s="3">
        <f t="shared" si="52"/>
        <v>0</v>
      </c>
      <c r="KB297" s="3">
        <f t="shared" si="52"/>
        <v>0</v>
      </c>
      <c r="KC297" s="3">
        <f t="shared" si="52"/>
        <v>0</v>
      </c>
      <c r="KD297" s="3">
        <f t="shared" si="53"/>
        <v>0</v>
      </c>
      <c r="KE297" s="3">
        <f t="shared" si="53"/>
        <v>0</v>
      </c>
      <c r="KF297" s="3">
        <f t="shared" si="53"/>
        <v>0</v>
      </c>
      <c r="KG297" s="3">
        <f t="shared" si="53"/>
        <v>0</v>
      </c>
      <c r="KH297" s="3">
        <f t="shared" si="53"/>
        <v>0</v>
      </c>
      <c r="KI297" s="3">
        <f t="shared" si="53"/>
        <v>0</v>
      </c>
      <c r="KJ297" s="3">
        <f t="shared" si="53"/>
        <v>0</v>
      </c>
      <c r="KK297" s="3">
        <f>KK$338</f>
        <v>0</v>
      </c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8"/>
      <c r="LZ297" s="2">
        <v>0.108974358974359</v>
      </c>
      <c r="MA297" s="1">
        <f t="shared" si="49"/>
        <v>0</v>
      </c>
      <c r="MB297" s="1">
        <v>0</v>
      </c>
      <c r="MC297" s="2">
        <v>0.10897436000000001</v>
      </c>
      <c r="MD297" s="1">
        <f t="shared" si="50"/>
        <v>0.10897436000000001</v>
      </c>
      <c r="ME297" s="1">
        <f t="shared" si="51"/>
        <v>0.10897436000000001</v>
      </c>
    </row>
    <row r="298" spans="1:343" x14ac:dyDescent="0.2">
      <c r="A298" s="2">
        <v>4</v>
      </c>
      <c r="B298" s="7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>
        <f t="shared" si="52"/>
        <v>0</v>
      </c>
      <c r="JX298" s="3">
        <f t="shared" si="52"/>
        <v>0</v>
      </c>
      <c r="JY298" s="3">
        <f t="shared" si="52"/>
        <v>0</v>
      </c>
      <c r="JZ298" s="3">
        <f t="shared" si="52"/>
        <v>0</v>
      </c>
      <c r="KA298" s="3">
        <f t="shared" si="52"/>
        <v>0</v>
      </c>
      <c r="KB298" s="3">
        <f t="shared" si="52"/>
        <v>0</v>
      </c>
      <c r="KC298" s="3">
        <f t="shared" si="52"/>
        <v>0</v>
      </c>
      <c r="KD298" s="3">
        <f t="shared" si="53"/>
        <v>0</v>
      </c>
      <c r="KE298" s="3">
        <f t="shared" si="53"/>
        <v>0</v>
      </c>
      <c r="KF298" s="3">
        <f t="shared" si="53"/>
        <v>0</v>
      </c>
      <c r="KG298" s="3">
        <f t="shared" si="53"/>
        <v>0</v>
      </c>
      <c r="KH298" s="3">
        <f t="shared" si="53"/>
        <v>0</v>
      </c>
      <c r="KI298" s="3">
        <f t="shared" si="53"/>
        <v>0</v>
      </c>
      <c r="KJ298" s="3">
        <f t="shared" si="53"/>
        <v>0</v>
      </c>
      <c r="KK298" s="3">
        <f t="shared" si="53"/>
        <v>0</v>
      </c>
      <c r="KL298" s="3">
        <f>KL$338</f>
        <v>0</v>
      </c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8"/>
      <c r="LZ298" s="2">
        <v>0.10498575498575501</v>
      </c>
      <c r="MA298" s="1">
        <f t="shared" si="49"/>
        <v>0</v>
      </c>
      <c r="MB298" s="1">
        <v>0</v>
      </c>
      <c r="MC298" s="2">
        <v>0.10498575</v>
      </c>
      <c r="MD298" s="1">
        <f t="shared" si="50"/>
        <v>0.10498575</v>
      </c>
      <c r="ME298" s="1">
        <f t="shared" si="51"/>
        <v>0.10498575</v>
      </c>
    </row>
    <row r="299" spans="1:343" x14ac:dyDescent="0.2">
      <c r="A299" s="2">
        <v>4.5</v>
      </c>
      <c r="B299" s="7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>
        <f t="shared" si="52"/>
        <v>0</v>
      </c>
      <c r="JY299" s="3">
        <f t="shared" si="52"/>
        <v>0</v>
      </c>
      <c r="JZ299" s="3">
        <f t="shared" si="52"/>
        <v>0</v>
      </c>
      <c r="KA299" s="3">
        <f t="shared" si="52"/>
        <v>0</v>
      </c>
      <c r="KB299" s="3">
        <f t="shared" si="52"/>
        <v>0</v>
      </c>
      <c r="KC299" s="3">
        <f t="shared" si="52"/>
        <v>0</v>
      </c>
      <c r="KD299" s="3">
        <f t="shared" si="53"/>
        <v>0</v>
      </c>
      <c r="KE299" s="3">
        <f t="shared" si="53"/>
        <v>0</v>
      </c>
      <c r="KF299" s="3">
        <f t="shared" si="53"/>
        <v>0</v>
      </c>
      <c r="KG299" s="3">
        <f t="shared" si="53"/>
        <v>0</v>
      </c>
      <c r="KH299" s="3">
        <f t="shared" si="53"/>
        <v>0</v>
      </c>
      <c r="KI299" s="3">
        <f t="shared" si="53"/>
        <v>0</v>
      </c>
      <c r="KJ299" s="3">
        <f t="shared" si="53"/>
        <v>0</v>
      </c>
      <c r="KK299" s="3">
        <f t="shared" si="53"/>
        <v>0</v>
      </c>
      <c r="KL299" s="3">
        <f t="shared" si="53"/>
        <v>0</v>
      </c>
      <c r="KM299" s="3">
        <f>KM$338</f>
        <v>0</v>
      </c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8"/>
      <c r="LZ299" s="2">
        <v>0.10498575498575501</v>
      </c>
      <c r="MA299" s="1">
        <f t="shared" si="49"/>
        <v>0</v>
      </c>
      <c r="MB299" s="1">
        <v>0</v>
      </c>
      <c r="MC299" s="2">
        <v>0.10498575</v>
      </c>
      <c r="MD299" s="1">
        <f t="shared" si="50"/>
        <v>0.10498575</v>
      </c>
      <c r="ME299" s="1">
        <f t="shared" si="51"/>
        <v>0.10498575</v>
      </c>
    </row>
    <row r="300" spans="1:343" x14ac:dyDescent="0.2">
      <c r="A300" s="2">
        <v>5</v>
      </c>
      <c r="B300" s="7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>
        <f t="shared" si="52"/>
        <v>0</v>
      </c>
      <c r="JZ300" s="3">
        <f t="shared" si="52"/>
        <v>0</v>
      </c>
      <c r="KA300" s="3">
        <f t="shared" si="52"/>
        <v>0</v>
      </c>
      <c r="KB300" s="3">
        <f t="shared" si="52"/>
        <v>0</v>
      </c>
      <c r="KC300" s="3">
        <f t="shared" si="52"/>
        <v>0</v>
      </c>
      <c r="KD300" s="3">
        <f t="shared" si="53"/>
        <v>0</v>
      </c>
      <c r="KE300" s="3">
        <f t="shared" si="53"/>
        <v>0</v>
      </c>
      <c r="KF300" s="3">
        <f t="shared" si="53"/>
        <v>0</v>
      </c>
      <c r="KG300" s="3">
        <f t="shared" si="53"/>
        <v>0</v>
      </c>
      <c r="KH300" s="3">
        <f t="shared" si="53"/>
        <v>0</v>
      </c>
      <c r="KI300" s="3">
        <f t="shared" si="53"/>
        <v>0</v>
      </c>
      <c r="KJ300" s="3">
        <f t="shared" si="53"/>
        <v>0</v>
      </c>
      <c r="KK300" s="3">
        <f t="shared" si="53"/>
        <v>0</v>
      </c>
      <c r="KL300" s="3">
        <f t="shared" si="53"/>
        <v>0</v>
      </c>
      <c r="KM300" s="3">
        <f t="shared" si="53"/>
        <v>0</v>
      </c>
      <c r="KN300" s="3">
        <f>KN$338</f>
        <v>0</v>
      </c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8"/>
      <c r="LZ300" s="2">
        <v>8.2300569800569795E-2</v>
      </c>
      <c r="MA300" s="1">
        <f t="shared" si="49"/>
        <v>0</v>
      </c>
      <c r="MB300" s="1">
        <v>0</v>
      </c>
      <c r="MC300" s="2">
        <v>8.2300570000000003E-2</v>
      </c>
      <c r="MD300" s="1">
        <f t="shared" si="50"/>
        <v>8.2300570000000003E-2</v>
      </c>
      <c r="ME300" s="1">
        <f t="shared" si="51"/>
        <v>8.2300570000000003E-2</v>
      </c>
    </row>
    <row r="301" spans="1:343" x14ac:dyDescent="0.2">
      <c r="A301" s="2">
        <v>5.5</v>
      </c>
      <c r="B301" s="7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>
        <f t="shared" si="52"/>
        <v>0</v>
      </c>
      <c r="KA301" s="3">
        <f t="shared" si="52"/>
        <v>0</v>
      </c>
      <c r="KB301" s="3">
        <f t="shared" si="52"/>
        <v>0</v>
      </c>
      <c r="KC301" s="3">
        <f t="shared" si="52"/>
        <v>0</v>
      </c>
      <c r="KD301" s="3">
        <f t="shared" si="53"/>
        <v>0</v>
      </c>
      <c r="KE301" s="3">
        <f t="shared" si="53"/>
        <v>0</v>
      </c>
      <c r="KF301" s="3">
        <f t="shared" si="53"/>
        <v>0</v>
      </c>
      <c r="KG301" s="3">
        <f t="shared" si="53"/>
        <v>0</v>
      </c>
      <c r="KH301" s="3">
        <f t="shared" si="53"/>
        <v>0</v>
      </c>
      <c r="KI301" s="3">
        <f t="shared" si="53"/>
        <v>0</v>
      </c>
      <c r="KJ301" s="3">
        <f t="shared" si="53"/>
        <v>0</v>
      </c>
      <c r="KK301" s="3">
        <f t="shared" si="53"/>
        <v>0</v>
      </c>
      <c r="KL301" s="3">
        <f t="shared" si="53"/>
        <v>0</v>
      </c>
      <c r="KM301" s="3">
        <f t="shared" si="53"/>
        <v>0</v>
      </c>
      <c r="KN301" s="3">
        <f t="shared" si="53"/>
        <v>0</v>
      </c>
      <c r="KO301" s="3">
        <f>KO$338</f>
        <v>0</v>
      </c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8"/>
      <c r="LZ301" s="2">
        <v>8.2300569800569795E-2</v>
      </c>
      <c r="MA301" s="1">
        <f t="shared" si="49"/>
        <v>0</v>
      </c>
      <c r="MB301" s="1">
        <v>0</v>
      </c>
      <c r="MC301" s="2">
        <v>8.2300570000000003E-2</v>
      </c>
      <c r="MD301" s="1">
        <f t="shared" si="50"/>
        <v>8.2300570000000003E-2</v>
      </c>
      <c r="ME301" s="1">
        <f t="shared" si="51"/>
        <v>8.2300570000000003E-2</v>
      </c>
    </row>
    <row r="302" spans="1:343" x14ac:dyDescent="0.2">
      <c r="A302" s="2">
        <v>6</v>
      </c>
      <c r="B302" s="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>
        <f t="shared" si="52"/>
        <v>0</v>
      </c>
      <c r="KB302" s="3">
        <f t="shared" si="52"/>
        <v>0</v>
      </c>
      <c r="KC302" s="3">
        <f t="shared" si="52"/>
        <v>0</v>
      </c>
      <c r="KD302" s="3">
        <f t="shared" si="53"/>
        <v>0</v>
      </c>
      <c r="KE302" s="3">
        <f t="shared" si="53"/>
        <v>0</v>
      </c>
      <c r="KF302" s="3">
        <f t="shared" si="53"/>
        <v>0</v>
      </c>
      <c r="KG302" s="3">
        <f t="shared" si="53"/>
        <v>0</v>
      </c>
      <c r="KH302" s="3">
        <f t="shared" si="53"/>
        <v>0</v>
      </c>
      <c r="KI302" s="3">
        <f t="shared" si="53"/>
        <v>0</v>
      </c>
      <c r="KJ302" s="3">
        <f t="shared" si="53"/>
        <v>0</v>
      </c>
      <c r="KK302" s="3">
        <f t="shared" si="53"/>
        <v>0</v>
      </c>
      <c r="KL302" s="3">
        <f t="shared" si="53"/>
        <v>0</v>
      </c>
      <c r="KM302" s="3">
        <f t="shared" si="53"/>
        <v>0</v>
      </c>
      <c r="KN302" s="3">
        <f t="shared" si="53"/>
        <v>0</v>
      </c>
      <c r="KO302" s="3">
        <f t="shared" si="53"/>
        <v>0</v>
      </c>
      <c r="KP302" s="3">
        <f>KP$338</f>
        <v>0</v>
      </c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8"/>
      <c r="LZ302" s="2">
        <v>5.6944444444444402E-2</v>
      </c>
      <c r="MA302" s="1">
        <f t="shared" si="49"/>
        <v>0</v>
      </c>
      <c r="MB302" s="1">
        <v>0</v>
      </c>
      <c r="MC302" s="2">
        <v>5.6944443999999997E-2</v>
      </c>
      <c r="MD302" s="1">
        <f t="shared" si="50"/>
        <v>5.6944443999999997E-2</v>
      </c>
      <c r="ME302" s="1">
        <f t="shared" si="51"/>
        <v>5.6944443999999997E-2</v>
      </c>
    </row>
    <row r="303" spans="1:343" x14ac:dyDescent="0.2">
      <c r="A303" s="2">
        <v>6.5</v>
      </c>
      <c r="B303" s="7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>
        <f t="shared" si="52"/>
        <v>0</v>
      </c>
      <c r="KC303" s="3">
        <f t="shared" si="52"/>
        <v>0</v>
      </c>
      <c r="KD303" s="3">
        <f t="shared" si="53"/>
        <v>0</v>
      </c>
      <c r="KE303" s="3">
        <f t="shared" si="53"/>
        <v>0</v>
      </c>
      <c r="KF303" s="3">
        <f t="shared" si="53"/>
        <v>0</v>
      </c>
      <c r="KG303" s="3">
        <f t="shared" si="53"/>
        <v>0</v>
      </c>
      <c r="KH303" s="3">
        <f t="shared" si="53"/>
        <v>0</v>
      </c>
      <c r="KI303" s="3">
        <f t="shared" si="53"/>
        <v>0</v>
      </c>
      <c r="KJ303" s="3">
        <f t="shared" si="53"/>
        <v>0</v>
      </c>
      <c r="KK303" s="3">
        <f t="shared" si="53"/>
        <v>0</v>
      </c>
      <c r="KL303" s="3">
        <f t="shared" si="53"/>
        <v>0</v>
      </c>
      <c r="KM303" s="3">
        <f t="shared" si="53"/>
        <v>0</v>
      </c>
      <c r="KN303" s="3">
        <f t="shared" si="53"/>
        <v>0</v>
      </c>
      <c r="KO303" s="3">
        <f t="shared" si="53"/>
        <v>0</v>
      </c>
      <c r="KP303" s="3">
        <f t="shared" si="53"/>
        <v>0</v>
      </c>
      <c r="KQ303" s="3">
        <f>KQ$338</f>
        <v>0</v>
      </c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8"/>
      <c r="LZ303" s="2">
        <v>5.6944444444444402E-2</v>
      </c>
      <c r="MA303" s="1">
        <f t="shared" si="49"/>
        <v>0</v>
      </c>
      <c r="MB303" s="1">
        <v>0</v>
      </c>
      <c r="MC303" s="2">
        <v>5.6944443999999997E-2</v>
      </c>
      <c r="MD303" s="1">
        <f t="shared" si="50"/>
        <v>5.6944443999999997E-2</v>
      </c>
      <c r="ME303" s="1">
        <f t="shared" si="51"/>
        <v>5.6944443999999997E-2</v>
      </c>
    </row>
    <row r="304" spans="1:343" x14ac:dyDescent="0.2">
      <c r="A304" s="2">
        <v>7</v>
      </c>
      <c r="B304" s="7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>
        <f t="shared" si="52"/>
        <v>0</v>
      </c>
      <c r="KD304" s="3">
        <f t="shared" si="53"/>
        <v>0</v>
      </c>
      <c r="KE304" s="3">
        <f t="shared" si="53"/>
        <v>0</v>
      </c>
      <c r="KF304" s="3">
        <f t="shared" si="53"/>
        <v>0</v>
      </c>
      <c r="KG304" s="3">
        <f t="shared" si="53"/>
        <v>0</v>
      </c>
      <c r="KH304" s="3">
        <f t="shared" si="53"/>
        <v>0</v>
      </c>
      <c r="KI304" s="3">
        <f t="shared" si="53"/>
        <v>0</v>
      </c>
      <c r="KJ304" s="3">
        <f t="shared" si="53"/>
        <v>0</v>
      </c>
      <c r="KK304" s="3">
        <f t="shared" si="53"/>
        <v>0</v>
      </c>
      <c r="KL304" s="3">
        <f t="shared" si="53"/>
        <v>0</v>
      </c>
      <c r="KM304" s="3">
        <f t="shared" si="53"/>
        <v>0</v>
      </c>
      <c r="KN304" s="3">
        <f t="shared" si="53"/>
        <v>0</v>
      </c>
      <c r="KO304" s="3">
        <f t="shared" si="53"/>
        <v>0</v>
      </c>
      <c r="KP304" s="3">
        <f t="shared" si="53"/>
        <v>0</v>
      </c>
      <c r="KQ304" s="3">
        <f t="shared" si="53"/>
        <v>0</v>
      </c>
      <c r="KR304" s="3">
        <f>KR$338</f>
        <v>0</v>
      </c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8"/>
      <c r="LZ304" s="2">
        <v>5.1691595441595399E-2</v>
      </c>
      <c r="MA304" s="1">
        <f t="shared" si="49"/>
        <v>0</v>
      </c>
      <c r="MB304" s="1">
        <v>0</v>
      </c>
      <c r="MC304" s="2">
        <v>5.1691595E-2</v>
      </c>
      <c r="MD304" s="1">
        <f t="shared" si="50"/>
        <v>5.1691595E-2</v>
      </c>
      <c r="ME304" s="1">
        <f t="shared" si="51"/>
        <v>5.1691595E-2</v>
      </c>
    </row>
    <row r="305" spans="1:343" x14ac:dyDescent="0.2">
      <c r="A305" s="2">
        <v>7.5</v>
      </c>
      <c r="B305" s="7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>
        <f t="shared" si="53"/>
        <v>0</v>
      </c>
      <c r="KE305" s="3">
        <f t="shared" si="53"/>
        <v>0</v>
      </c>
      <c r="KF305" s="3">
        <f t="shared" si="53"/>
        <v>0</v>
      </c>
      <c r="KG305" s="3">
        <f t="shared" si="53"/>
        <v>0</v>
      </c>
      <c r="KH305" s="3">
        <f t="shared" si="53"/>
        <v>0</v>
      </c>
      <c r="KI305" s="3">
        <f t="shared" si="53"/>
        <v>0</v>
      </c>
      <c r="KJ305" s="3">
        <f t="shared" si="53"/>
        <v>0</v>
      </c>
      <c r="KK305" s="3">
        <f t="shared" si="53"/>
        <v>0</v>
      </c>
      <c r="KL305" s="3">
        <f t="shared" si="53"/>
        <v>0</v>
      </c>
      <c r="KM305" s="3">
        <f t="shared" si="53"/>
        <v>0</v>
      </c>
      <c r="KN305" s="3">
        <f t="shared" si="53"/>
        <v>0</v>
      </c>
      <c r="KO305" s="3">
        <f t="shared" si="53"/>
        <v>0</v>
      </c>
      <c r="KP305" s="3">
        <f t="shared" si="53"/>
        <v>0</v>
      </c>
      <c r="KQ305" s="3">
        <f t="shared" si="53"/>
        <v>0</v>
      </c>
      <c r="KR305" s="3">
        <f t="shared" si="53"/>
        <v>0</v>
      </c>
      <c r="KS305" s="3">
        <f>KS$338</f>
        <v>0</v>
      </c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8"/>
      <c r="LZ305" s="2">
        <v>5.1691595441595399E-2</v>
      </c>
      <c r="MA305" s="1">
        <f t="shared" si="49"/>
        <v>0</v>
      </c>
      <c r="MB305" s="1">
        <v>0</v>
      </c>
      <c r="MC305" s="2">
        <v>5.1691595E-2</v>
      </c>
      <c r="MD305" s="1">
        <f t="shared" si="50"/>
        <v>5.1691595E-2</v>
      </c>
      <c r="ME305" s="1">
        <f t="shared" si="51"/>
        <v>5.1691595E-2</v>
      </c>
    </row>
    <row r="306" spans="1:343" x14ac:dyDescent="0.2">
      <c r="A306" s="2">
        <v>8</v>
      </c>
      <c r="B306" s="7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>
        <f t="shared" si="53"/>
        <v>0</v>
      </c>
      <c r="KF306" s="3">
        <f t="shared" si="53"/>
        <v>0</v>
      </c>
      <c r="KG306" s="3">
        <f t="shared" si="53"/>
        <v>0</v>
      </c>
      <c r="KH306" s="3">
        <f t="shared" si="53"/>
        <v>0</v>
      </c>
      <c r="KI306" s="3">
        <f t="shared" si="53"/>
        <v>0</v>
      </c>
      <c r="KJ306" s="3">
        <f t="shared" si="53"/>
        <v>0</v>
      </c>
      <c r="KK306" s="3">
        <f t="shared" si="53"/>
        <v>0</v>
      </c>
      <c r="KL306" s="3">
        <f t="shared" si="53"/>
        <v>0</v>
      </c>
      <c r="KM306" s="3">
        <f t="shared" si="53"/>
        <v>0</v>
      </c>
      <c r="KN306" s="3">
        <f t="shared" si="53"/>
        <v>0</v>
      </c>
      <c r="KO306" s="3">
        <f t="shared" si="53"/>
        <v>0</v>
      </c>
      <c r="KP306" s="3">
        <f t="shared" si="53"/>
        <v>0</v>
      </c>
      <c r="KQ306" s="3">
        <f t="shared" si="53"/>
        <v>0</v>
      </c>
      <c r="KR306" s="3">
        <f t="shared" si="53"/>
        <v>0</v>
      </c>
      <c r="KS306" s="3">
        <f t="shared" si="53"/>
        <v>0</v>
      </c>
      <c r="KT306" s="3">
        <f>KT$338</f>
        <v>0</v>
      </c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8"/>
      <c r="LZ306" s="2">
        <v>8.4312678062678101E-2</v>
      </c>
      <c r="MA306" s="1">
        <f t="shared" si="49"/>
        <v>0</v>
      </c>
      <c r="MB306" s="1">
        <v>0</v>
      </c>
      <c r="MC306" s="2">
        <v>8.4312678000000002E-2</v>
      </c>
      <c r="MD306" s="1">
        <f t="shared" si="50"/>
        <v>8.4312678000000002E-2</v>
      </c>
      <c r="ME306" s="1">
        <f t="shared" si="51"/>
        <v>8.4312678000000002E-2</v>
      </c>
    </row>
    <row r="307" spans="1:343" x14ac:dyDescent="0.2">
      <c r="A307" s="2">
        <v>8.5</v>
      </c>
      <c r="B307" s="7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>
        <f t="shared" si="53"/>
        <v>0</v>
      </c>
      <c r="KG307" s="3">
        <f t="shared" si="53"/>
        <v>0</v>
      </c>
      <c r="KH307" s="3">
        <f t="shared" si="53"/>
        <v>0</v>
      </c>
      <c r="KI307" s="3">
        <f t="shared" si="53"/>
        <v>0</v>
      </c>
      <c r="KJ307" s="3">
        <f t="shared" si="53"/>
        <v>0</v>
      </c>
      <c r="KK307" s="3">
        <f t="shared" si="53"/>
        <v>0</v>
      </c>
      <c r="KL307" s="3">
        <f t="shared" si="53"/>
        <v>0</v>
      </c>
      <c r="KM307" s="3">
        <f t="shared" si="53"/>
        <v>0</v>
      </c>
      <c r="KN307" s="3">
        <f t="shared" si="53"/>
        <v>0</v>
      </c>
      <c r="KO307" s="3">
        <f t="shared" si="53"/>
        <v>0</v>
      </c>
      <c r="KP307" s="3">
        <f t="shared" si="53"/>
        <v>0</v>
      </c>
      <c r="KQ307" s="3">
        <f t="shared" si="53"/>
        <v>0</v>
      </c>
      <c r="KR307" s="3">
        <f t="shared" si="53"/>
        <v>0</v>
      </c>
      <c r="KS307" s="3">
        <f t="shared" si="53"/>
        <v>0</v>
      </c>
      <c r="KT307" s="3">
        <f t="shared" si="53"/>
        <v>0</v>
      </c>
      <c r="KU307" s="3">
        <f>KU$338</f>
        <v>0</v>
      </c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8"/>
      <c r="LZ307" s="2">
        <v>8.4312678062678101E-2</v>
      </c>
      <c r="MA307" s="1">
        <f t="shared" si="49"/>
        <v>0</v>
      </c>
      <c r="MB307" s="1">
        <v>0</v>
      </c>
      <c r="MC307" s="2">
        <v>8.4312678000000002E-2</v>
      </c>
      <c r="MD307" s="1">
        <f t="shared" si="50"/>
        <v>8.4312678000000002E-2</v>
      </c>
      <c r="ME307" s="1">
        <f t="shared" si="51"/>
        <v>8.4312678000000002E-2</v>
      </c>
    </row>
    <row r="308" spans="1:343" x14ac:dyDescent="0.2">
      <c r="A308" s="2">
        <v>9</v>
      </c>
      <c r="B308" s="7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>
        <f t="shared" si="53"/>
        <v>0</v>
      </c>
      <c r="KH308" s="3">
        <f t="shared" si="53"/>
        <v>0</v>
      </c>
      <c r="KI308" s="3">
        <f t="shared" si="53"/>
        <v>0</v>
      </c>
      <c r="KJ308" s="3">
        <f t="shared" si="53"/>
        <v>0</v>
      </c>
      <c r="KK308" s="3">
        <f t="shared" si="53"/>
        <v>0</v>
      </c>
      <c r="KL308" s="3">
        <f t="shared" si="53"/>
        <v>0</v>
      </c>
      <c r="KM308" s="3">
        <f t="shared" si="53"/>
        <v>0</v>
      </c>
      <c r="KN308" s="3">
        <f t="shared" si="53"/>
        <v>0</v>
      </c>
      <c r="KO308" s="3">
        <f t="shared" si="53"/>
        <v>0</v>
      </c>
      <c r="KP308" s="3">
        <f t="shared" si="53"/>
        <v>0</v>
      </c>
      <c r="KQ308" s="3">
        <f t="shared" si="53"/>
        <v>0</v>
      </c>
      <c r="KR308" s="3">
        <f t="shared" si="53"/>
        <v>0</v>
      </c>
      <c r="KS308" s="3">
        <f t="shared" si="53"/>
        <v>0</v>
      </c>
      <c r="KT308" s="3">
        <f t="shared" si="53"/>
        <v>0</v>
      </c>
      <c r="KU308" s="3">
        <f t="shared" si="53"/>
        <v>0</v>
      </c>
      <c r="KV308" s="3">
        <f>KV$338</f>
        <v>0</v>
      </c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8"/>
      <c r="LZ308" s="2">
        <v>0.13237179487179501</v>
      </c>
      <c r="MA308" s="1">
        <f t="shared" si="49"/>
        <v>0</v>
      </c>
      <c r="MB308" s="1">
        <v>0</v>
      </c>
      <c r="MC308" s="2">
        <v>0.13237178999999999</v>
      </c>
      <c r="MD308" s="1">
        <f t="shared" si="50"/>
        <v>0.13237178999999999</v>
      </c>
      <c r="ME308" s="1">
        <f t="shared" si="51"/>
        <v>0.13237178999999999</v>
      </c>
    </row>
    <row r="309" spans="1:343" x14ac:dyDescent="0.2">
      <c r="A309" s="2">
        <v>9.5</v>
      </c>
      <c r="B309" s="7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>
        <f t="shared" si="53"/>
        <v>0</v>
      </c>
      <c r="KI309" s="3">
        <f t="shared" si="53"/>
        <v>0</v>
      </c>
      <c r="KJ309" s="3">
        <f t="shared" si="53"/>
        <v>0</v>
      </c>
      <c r="KK309" s="3">
        <f t="shared" si="53"/>
        <v>0</v>
      </c>
      <c r="KL309" s="3">
        <f t="shared" si="53"/>
        <v>0</v>
      </c>
      <c r="KM309" s="3">
        <f t="shared" si="53"/>
        <v>0</v>
      </c>
      <c r="KN309" s="3">
        <f t="shared" si="53"/>
        <v>0</v>
      </c>
      <c r="KO309" s="3">
        <f t="shared" si="53"/>
        <v>0</v>
      </c>
      <c r="KP309" s="3">
        <f t="shared" si="53"/>
        <v>0</v>
      </c>
      <c r="KQ309" s="3">
        <f t="shared" si="53"/>
        <v>0</v>
      </c>
      <c r="KR309" s="3">
        <f t="shared" si="53"/>
        <v>0</v>
      </c>
      <c r="KS309" s="3">
        <f t="shared" si="53"/>
        <v>0</v>
      </c>
      <c r="KT309" s="3">
        <f t="shared" si="53"/>
        <v>0</v>
      </c>
      <c r="KU309" s="3">
        <f t="shared" si="53"/>
        <v>0</v>
      </c>
      <c r="KV309" s="3">
        <f t="shared" si="53"/>
        <v>0</v>
      </c>
      <c r="KW309" s="3">
        <f>KW$338</f>
        <v>0</v>
      </c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8"/>
      <c r="LZ309" s="2">
        <v>0.13237179487179501</v>
      </c>
      <c r="MA309" s="1">
        <f t="shared" si="49"/>
        <v>0</v>
      </c>
      <c r="MB309" s="1">
        <v>0</v>
      </c>
      <c r="MC309" s="2">
        <v>0.13237178999999999</v>
      </c>
      <c r="MD309" s="1">
        <f t="shared" si="50"/>
        <v>0.13237178999999999</v>
      </c>
      <c r="ME309" s="1">
        <f t="shared" si="51"/>
        <v>0.13237178999999999</v>
      </c>
    </row>
    <row r="310" spans="1:343" x14ac:dyDescent="0.2">
      <c r="A310" s="2">
        <v>10</v>
      </c>
      <c r="B310" s="7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>
        <f t="shared" si="53"/>
        <v>0</v>
      </c>
      <c r="KJ310" s="3">
        <f t="shared" si="53"/>
        <v>0</v>
      </c>
      <c r="KK310" s="3">
        <f t="shared" si="53"/>
        <v>0</v>
      </c>
      <c r="KL310" s="3">
        <f t="shared" si="53"/>
        <v>0</v>
      </c>
      <c r="KM310" s="3">
        <f t="shared" si="53"/>
        <v>0</v>
      </c>
      <c r="KN310" s="3">
        <f t="shared" si="53"/>
        <v>0</v>
      </c>
      <c r="KO310" s="3">
        <f t="shared" si="53"/>
        <v>0</v>
      </c>
      <c r="KP310" s="3">
        <f t="shared" si="53"/>
        <v>0</v>
      </c>
      <c r="KQ310" s="3">
        <f t="shared" si="53"/>
        <v>0</v>
      </c>
      <c r="KR310" s="3">
        <f t="shared" si="53"/>
        <v>0</v>
      </c>
      <c r="KS310" s="3">
        <f t="shared" si="53"/>
        <v>0</v>
      </c>
      <c r="KT310" s="3">
        <f t="shared" si="53"/>
        <v>0</v>
      </c>
      <c r="KU310" s="3">
        <f t="shared" si="53"/>
        <v>0</v>
      </c>
      <c r="KV310" s="3">
        <f t="shared" si="53"/>
        <v>0</v>
      </c>
      <c r="KW310" s="3">
        <f t="shared" si="53"/>
        <v>0</v>
      </c>
      <c r="KX310" s="3">
        <f>KX$338</f>
        <v>0</v>
      </c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8"/>
      <c r="LZ310" s="2">
        <v>0.19480056980057001</v>
      </c>
      <c r="MA310" s="1">
        <f t="shared" si="49"/>
        <v>0</v>
      </c>
      <c r="MB310" s="1">
        <v>0</v>
      </c>
      <c r="MC310" s="2">
        <v>0.19480057000000001</v>
      </c>
      <c r="MD310" s="1">
        <f t="shared" si="50"/>
        <v>0.19480057000000001</v>
      </c>
      <c r="ME310" s="1">
        <f t="shared" si="51"/>
        <v>0.19480057000000001</v>
      </c>
    </row>
    <row r="311" spans="1:343" x14ac:dyDescent="0.2">
      <c r="A311" s="2">
        <v>10.5</v>
      </c>
      <c r="B311" s="7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>
        <f t="shared" si="53"/>
        <v>0</v>
      </c>
      <c r="KK311" s="3">
        <f t="shared" si="53"/>
        <v>0</v>
      </c>
      <c r="KL311" s="3">
        <f t="shared" si="53"/>
        <v>0</v>
      </c>
      <c r="KM311" s="3">
        <f t="shared" si="53"/>
        <v>0</v>
      </c>
      <c r="KN311" s="3">
        <f t="shared" si="53"/>
        <v>0</v>
      </c>
      <c r="KO311" s="3">
        <f t="shared" si="53"/>
        <v>0</v>
      </c>
      <c r="KP311" s="3">
        <f t="shared" si="53"/>
        <v>0</v>
      </c>
      <c r="KQ311" s="3">
        <f t="shared" si="53"/>
        <v>0</v>
      </c>
      <c r="KR311" s="3">
        <f t="shared" si="53"/>
        <v>0</v>
      </c>
      <c r="KS311" s="3">
        <f t="shared" si="53"/>
        <v>0</v>
      </c>
      <c r="KT311" s="3">
        <f t="shared" si="53"/>
        <v>0</v>
      </c>
      <c r="KU311" s="3">
        <f t="shared" si="53"/>
        <v>0</v>
      </c>
      <c r="KV311" s="3">
        <f t="shared" si="53"/>
        <v>0</v>
      </c>
      <c r="KW311" s="3">
        <f t="shared" si="53"/>
        <v>0</v>
      </c>
      <c r="KX311" s="3">
        <f t="shared" si="53"/>
        <v>0</v>
      </c>
      <c r="KY311" s="3">
        <f>KY$338</f>
        <v>0</v>
      </c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8"/>
      <c r="LZ311" s="2">
        <v>0.19480056980057001</v>
      </c>
      <c r="MA311" s="1">
        <f t="shared" si="49"/>
        <v>0</v>
      </c>
      <c r="MB311" s="1">
        <v>0</v>
      </c>
      <c r="MC311" s="2">
        <v>0.19480057000000001</v>
      </c>
      <c r="MD311" s="1">
        <f t="shared" si="50"/>
        <v>0.19480057000000001</v>
      </c>
      <c r="ME311" s="1">
        <f t="shared" si="51"/>
        <v>0.19480057000000001</v>
      </c>
    </row>
    <row r="312" spans="1:343" x14ac:dyDescent="0.2">
      <c r="A312" s="2">
        <v>11</v>
      </c>
      <c r="B312" s="7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>
        <f t="shared" si="53"/>
        <v>0</v>
      </c>
      <c r="KL312" s="3">
        <f t="shared" si="53"/>
        <v>0</v>
      </c>
      <c r="KM312" s="3">
        <f t="shared" si="53"/>
        <v>0</v>
      </c>
      <c r="KN312" s="3">
        <f t="shared" si="53"/>
        <v>0</v>
      </c>
      <c r="KO312" s="3">
        <f t="shared" si="53"/>
        <v>0</v>
      </c>
      <c r="KP312" s="3">
        <f t="shared" si="53"/>
        <v>0</v>
      </c>
      <c r="KQ312" s="3">
        <f t="shared" si="53"/>
        <v>0</v>
      </c>
      <c r="KR312" s="3">
        <f t="shared" si="53"/>
        <v>0</v>
      </c>
      <c r="KS312" s="3">
        <f t="shared" si="53"/>
        <v>0</v>
      </c>
      <c r="KT312" s="3">
        <f t="shared" si="53"/>
        <v>0</v>
      </c>
      <c r="KU312" s="3">
        <f t="shared" si="53"/>
        <v>0</v>
      </c>
      <c r="KV312" s="3">
        <f t="shared" si="53"/>
        <v>0</v>
      </c>
      <c r="KW312" s="3">
        <f t="shared" si="53"/>
        <v>0</v>
      </c>
      <c r="KX312" s="3">
        <f t="shared" si="53"/>
        <v>0</v>
      </c>
      <c r="KY312" s="3">
        <f t="shared" si="53"/>
        <v>0</v>
      </c>
      <c r="KZ312" s="3">
        <f>KZ$338</f>
        <v>0</v>
      </c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8"/>
      <c r="LZ312" s="2">
        <v>0.30272435897435901</v>
      </c>
      <c r="MA312" s="1">
        <f t="shared" si="49"/>
        <v>0</v>
      </c>
      <c r="MB312" s="1">
        <v>0</v>
      </c>
      <c r="MC312" s="2">
        <v>0.30272436000000003</v>
      </c>
      <c r="MD312" s="1">
        <f t="shared" si="50"/>
        <v>0.30272436000000003</v>
      </c>
      <c r="ME312" s="1">
        <f t="shared" si="51"/>
        <v>0.30272436000000003</v>
      </c>
    </row>
    <row r="313" spans="1:343" x14ac:dyDescent="0.2">
      <c r="A313" s="2">
        <v>11.5</v>
      </c>
      <c r="B313" s="7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>
        <f t="shared" si="53"/>
        <v>0</v>
      </c>
      <c r="KM313" s="3">
        <f t="shared" si="53"/>
        <v>0</v>
      </c>
      <c r="KN313" s="3">
        <f t="shared" si="53"/>
        <v>0</v>
      </c>
      <c r="KO313" s="3">
        <f t="shared" si="53"/>
        <v>0</v>
      </c>
      <c r="KP313" s="3">
        <f t="shared" si="53"/>
        <v>0</v>
      </c>
      <c r="KQ313" s="3">
        <f t="shared" si="53"/>
        <v>0</v>
      </c>
      <c r="KR313" s="3">
        <f t="shared" si="53"/>
        <v>0</v>
      </c>
      <c r="KS313" s="3">
        <f t="shared" si="53"/>
        <v>0</v>
      </c>
      <c r="KT313" s="3">
        <f t="shared" si="53"/>
        <v>0</v>
      </c>
      <c r="KU313" s="3">
        <f t="shared" si="53"/>
        <v>0</v>
      </c>
      <c r="KV313" s="3">
        <f t="shared" si="53"/>
        <v>0</v>
      </c>
      <c r="KW313" s="3">
        <f t="shared" si="53"/>
        <v>0</v>
      </c>
      <c r="KX313" s="3">
        <f t="shared" si="53"/>
        <v>0</v>
      </c>
      <c r="KY313" s="3">
        <f t="shared" si="53"/>
        <v>0</v>
      </c>
      <c r="KZ313" s="3">
        <f t="shared" si="53"/>
        <v>0</v>
      </c>
      <c r="LA313" s="3">
        <f>LA$338</f>
        <v>0</v>
      </c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8"/>
      <c r="LZ313" s="2">
        <v>0.30272435897435901</v>
      </c>
      <c r="MA313" s="1">
        <f t="shared" si="49"/>
        <v>0</v>
      </c>
      <c r="MB313" s="1">
        <v>0</v>
      </c>
      <c r="MC313" s="2">
        <v>0.30272436000000003</v>
      </c>
      <c r="MD313" s="1">
        <f t="shared" si="50"/>
        <v>0.30272436000000003</v>
      </c>
      <c r="ME313" s="1">
        <f t="shared" si="51"/>
        <v>0.30272436000000003</v>
      </c>
    </row>
    <row r="314" spans="1:343" x14ac:dyDescent="0.2">
      <c r="A314" s="2">
        <v>12</v>
      </c>
      <c r="B314" s="7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>
        <f t="shared" si="53"/>
        <v>0</v>
      </c>
      <c r="KN314" s="3">
        <f t="shared" si="53"/>
        <v>0</v>
      </c>
      <c r="KO314" s="3">
        <f t="shared" si="53"/>
        <v>0</v>
      </c>
      <c r="KP314" s="3">
        <f t="shared" si="53"/>
        <v>0</v>
      </c>
      <c r="KQ314" s="3">
        <f t="shared" si="53"/>
        <v>0</v>
      </c>
      <c r="KR314" s="3">
        <f t="shared" si="53"/>
        <v>0</v>
      </c>
      <c r="KS314" s="3">
        <f t="shared" si="53"/>
        <v>0</v>
      </c>
      <c r="KT314" s="3">
        <f t="shared" si="53"/>
        <v>0</v>
      </c>
      <c r="KU314" s="3">
        <f t="shared" si="53"/>
        <v>0</v>
      </c>
      <c r="KV314" s="3">
        <f t="shared" si="53"/>
        <v>0</v>
      </c>
      <c r="KW314" s="3">
        <f t="shared" si="53"/>
        <v>0</v>
      </c>
      <c r="KX314" s="3">
        <f t="shared" si="53"/>
        <v>0</v>
      </c>
      <c r="KY314" s="3">
        <f t="shared" si="53"/>
        <v>0</v>
      </c>
      <c r="KZ314" s="3">
        <f t="shared" si="53"/>
        <v>0</v>
      </c>
      <c r="LA314" s="3">
        <f t="shared" si="53"/>
        <v>0</v>
      </c>
      <c r="LB314" s="3">
        <f>LB$338</f>
        <v>0</v>
      </c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8"/>
      <c r="LZ314" s="2">
        <v>0.41148504273504299</v>
      </c>
      <c r="MA314" s="1">
        <f t="shared" si="49"/>
        <v>0</v>
      </c>
      <c r="MB314" s="1">
        <v>0</v>
      </c>
      <c r="MC314" s="2">
        <v>0.41148504000000002</v>
      </c>
      <c r="MD314" s="1">
        <f t="shared" si="50"/>
        <v>0.41148504000000002</v>
      </c>
      <c r="ME314" s="1">
        <f t="shared" si="51"/>
        <v>0.41148504000000002</v>
      </c>
    </row>
    <row r="315" spans="1:343" x14ac:dyDescent="0.2">
      <c r="A315" s="2">
        <v>12.5</v>
      </c>
      <c r="B315" s="7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>
        <f t="shared" ref="KN315:LL336" si="54">KN$338</f>
        <v>0</v>
      </c>
      <c r="KO315" s="3">
        <f t="shared" si="54"/>
        <v>0</v>
      </c>
      <c r="KP315" s="3">
        <f t="shared" si="54"/>
        <v>0</v>
      </c>
      <c r="KQ315" s="3">
        <f t="shared" si="54"/>
        <v>0</v>
      </c>
      <c r="KR315" s="3">
        <f t="shared" si="54"/>
        <v>0</v>
      </c>
      <c r="KS315" s="3">
        <f t="shared" si="54"/>
        <v>0</v>
      </c>
      <c r="KT315" s="3">
        <f t="shared" si="54"/>
        <v>0</v>
      </c>
      <c r="KU315" s="3">
        <f t="shared" si="54"/>
        <v>0</v>
      </c>
      <c r="KV315" s="3">
        <f t="shared" si="54"/>
        <v>0</v>
      </c>
      <c r="KW315" s="3">
        <f t="shared" si="54"/>
        <v>0</v>
      </c>
      <c r="KX315" s="3">
        <f t="shared" si="54"/>
        <v>0</v>
      </c>
      <c r="KY315" s="3">
        <f t="shared" si="54"/>
        <v>0</v>
      </c>
      <c r="KZ315" s="3">
        <f t="shared" si="54"/>
        <v>0</v>
      </c>
      <c r="LA315" s="3">
        <f t="shared" si="54"/>
        <v>0</v>
      </c>
      <c r="LB315" s="3">
        <f t="shared" si="54"/>
        <v>0</v>
      </c>
      <c r="LC315" s="3">
        <f>LC$338</f>
        <v>0</v>
      </c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8"/>
      <c r="LZ315" s="2">
        <v>0.41148504273504299</v>
      </c>
      <c r="MA315" s="1">
        <f t="shared" si="49"/>
        <v>0</v>
      </c>
      <c r="MB315" s="1">
        <v>0</v>
      </c>
      <c r="MC315" s="2">
        <v>0.41148504000000002</v>
      </c>
      <c r="MD315" s="1">
        <f t="shared" si="50"/>
        <v>0.41148504000000002</v>
      </c>
      <c r="ME315" s="1">
        <f t="shared" si="51"/>
        <v>0.41148504000000002</v>
      </c>
    </row>
    <row r="316" spans="1:343" x14ac:dyDescent="0.2">
      <c r="A316" s="2">
        <v>13</v>
      </c>
      <c r="B316" s="7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>
        <f t="shared" si="54"/>
        <v>0</v>
      </c>
      <c r="KP316" s="3">
        <f t="shared" si="54"/>
        <v>0</v>
      </c>
      <c r="KQ316" s="3">
        <f t="shared" si="54"/>
        <v>0</v>
      </c>
      <c r="KR316" s="3">
        <f t="shared" si="54"/>
        <v>0</v>
      </c>
      <c r="KS316" s="3">
        <f t="shared" si="54"/>
        <v>0</v>
      </c>
      <c r="KT316" s="3">
        <f t="shared" si="54"/>
        <v>0</v>
      </c>
      <c r="KU316" s="3">
        <f t="shared" si="54"/>
        <v>0</v>
      </c>
      <c r="KV316" s="3">
        <f t="shared" si="54"/>
        <v>0</v>
      </c>
      <c r="KW316" s="3">
        <f t="shared" si="54"/>
        <v>0</v>
      </c>
      <c r="KX316" s="3">
        <f t="shared" si="54"/>
        <v>0</v>
      </c>
      <c r="KY316" s="3">
        <f t="shared" si="54"/>
        <v>0</v>
      </c>
      <c r="KZ316" s="3">
        <f t="shared" si="54"/>
        <v>0</v>
      </c>
      <c r="LA316" s="3">
        <f t="shared" si="54"/>
        <v>0</v>
      </c>
      <c r="LB316" s="3">
        <f t="shared" si="54"/>
        <v>0</v>
      </c>
      <c r="LC316" s="3">
        <f t="shared" si="54"/>
        <v>0</v>
      </c>
      <c r="LD316" s="3">
        <f>LD$338</f>
        <v>0</v>
      </c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8"/>
      <c r="LZ316" s="2">
        <v>0.46842948717948701</v>
      </c>
      <c r="MA316" s="1">
        <f t="shared" si="49"/>
        <v>0</v>
      </c>
      <c r="MB316" s="1">
        <v>0</v>
      </c>
      <c r="MC316" s="2">
        <v>0.46842949</v>
      </c>
      <c r="MD316" s="1">
        <f t="shared" si="50"/>
        <v>0.46842949</v>
      </c>
      <c r="ME316" s="1">
        <f t="shared" si="51"/>
        <v>0.46842949</v>
      </c>
    </row>
    <row r="317" spans="1:343" x14ac:dyDescent="0.2">
      <c r="A317" s="2">
        <v>13.5</v>
      </c>
      <c r="B317" s="7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>
        <f t="shared" si="54"/>
        <v>0</v>
      </c>
      <c r="KQ317" s="3">
        <f t="shared" si="54"/>
        <v>0</v>
      </c>
      <c r="KR317" s="3">
        <f t="shared" si="54"/>
        <v>0</v>
      </c>
      <c r="KS317" s="3">
        <f t="shared" si="54"/>
        <v>0</v>
      </c>
      <c r="KT317" s="3">
        <f t="shared" si="54"/>
        <v>0</v>
      </c>
      <c r="KU317" s="3">
        <f t="shared" si="54"/>
        <v>0</v>
      </c>
      <c r="KV317" s="3">
        <f t="shared" si="54"/>
        <v>0</v>
      </c>
      <c r="KW317" s="3">
        <f t="shared" si="54"/>
        <v>0</v>
      </c>
      <c r="KX317" s="3">
        <f t="shared" si="54"/>
        <v>0</v>
      </c>
      <c r="KY317" s="3">
        <f t="shared" si="54"/>
        <v>0</v>
      </c>
      <c r="KZ317" s="3">
        <f t="shared" si="54"/>
        <v>0</v>
      </c>
      <c r="LA317" s="3">
        <f t="shared" si="54"/>
        <v>0</v>
      </c>
      <c r="LB317" s="3">
        <f t="shared" si="54"/>
        <v>0</v>
      </c>
      <c r="LC317" s="3">
        <f t="shared" si="54"/>
        <v>0</v>
      </c>
      <c r="LD317" s="3">
        <f t="shared" si="54"/>
        <v>0</v>
      </c>
      <c r="LE317" s="3">
        <f>LE$338</f>
        <v>0</v>
      </c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8"/>
      <c r="LZ317" s="2">
        <v>0.46842948717948701</v>
      </c>
      <c r="MA317" s="1">
        <f t="shared" si="49"/>
        <v>0</v>
      </c>
      <c r="MB317" s="1">
        <v>0</v>
      </c>
      <c r="MC317" s="2">
        <v>0.46842949</v>
      </c>
      <c r="MD317" s="1">
        <f t="shared" si="50"/>
        <v>0.46842949</v>
      </c>
      <c r="ME317" s="1">
        <f t="shared" si="51"/>
        <v>0.46842949</v>
      </c>
    </row>
    <row r="318" spans="1:343" x14ac:dyDescent="0.2">
      <c r="A318" s="2">
        <v>14</v>
      </c>
      <c r="B318" s="7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>
        <f t="shared" si="54"/>
        <v>0</v>
      </c>
      <c r="KR318" s="3">
        <f t="shared" si="54"/>
        <v>0</v>
      </c>
      <c r="KS318" s="3">
        <f t="shared" si="54"/>
        <v>0</v>
      </c>
      <c r="KT318" s="3">
        <f t="shared" si="54"/>
        <v>0</v>
      </c>
      <c r="KU318" s="3">
        <f t="shared" si="54"/>
        <v>0</v>
      </c>
      <c r="KV318" s="3">
        <f t="shared" si="54"/>
        <v>0</v>
      </c>
      <c r="KW318" s="3">
        <f t="shared" si="54"/>
        <v>0</v>
      </c>
      <c r="KX318" s="3">
        <f t="shared" si="54"/>
        <v>0</v>
      </c>
      <c r="KY318" s="3">
        <f t="shared" si="54"/>
        <v>0</v>
      </c>
      <c r="KZ318" s="3">
        <f t="shared" si="54"/>
        <v>0</v>
      </c>
      <c r="LA318" s="3">
        <f t="shared" si="54"/>
        <v>0</v>
      </c>
      <c r="LB318" s="3">
        <f t="shared" si="54"/>
        <v>0</v>
      </c>
      <c r="LC318" s="3">
        <f t="shared" si="54"/>
        <v>0</v>
      </c>
      <c r="LD318" s="3">
        <f t="shared" si="54"/>
        <v>0</v>
      </c>
      <c r="LE318" s="3">
        <f t="shared" si="54"/>
        <v>0</v>
      </c>
      <c r="LF318" s="3">
        <f>LF$338</f>
        <v>0</v>
      </c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8"/>
      <c r="LZ318" s="2">
        <v>0.51661324786324803</v>
      </c>
      <c r="MA318" s="1">
        <f t="shared" si="49"/>
        <v>0</v>
      </c>
      <c r="MB318" s="1">
        <v>0</v>
      </c>
      <c r="MC318" s="2">
        <v>0.51661325000000002</v>
      </c>
      <c r="MD318" s="1">
        <f t="shared" si="50"/>
        <v>0.51661325000000002</v>
      </c>
      <c r="ME318" s="1">
        <f t="shared" si="51"/>
        <v>0.51661325000000002</v>
      </c>
    </row>
    <row r="319" spans="1:343" x14ac:dyDescent="0.2">
      <c r="A319" s="2">
        <v>14.5</v>
      </c>
      <c r="B319" s="7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>
        <f t="shared" si="54"/>
        <v>0</v>
      </c>
      <c r="KS319" s="3">
        <f t="shared" si="54"/>
        <v>0</v>
      </c>
      <c r="KT319" s="3">
        <f t="shared" si="54"/>
        <v>0</v>
      </c>
      <c r="KU319" s="3">
        <f t="shared" si="54"/>
        <v>0</v>
      </c>
      <c r="KV319" s="3">
        <f t="shared" si="54"/>
        <v>0</v>
      </c>
      <c r="KW319" s="3">
        <f t="shared" si="54"/>
        <v>0</v>
      </c>
      <c r="KX319" s="3">
        <f t="shared" si="54"/>
        <v>0</v>
      </c>
      <c r="KY319" s="3">
        <f t="shared" si="54"/>
        <v>0</v>
      </c>
      <c r="KZ319" s="3">
        <f t="shared" si="54"/>
        <v>0</v>
      </c>
      <c r="LA319" s="3">
        <f t="shared" si="54"/>
        <v>0</v>
      </c>
      <c r="LB319" s="3">
        <f t="shared" si="54"/>
        <v>0</v>
      </c>
      <c r="LC319" s="3">
        <f t="shared" si="54"/>
        <v>0</v>
      </c>
      <c r="LD319" s="3">
        <f t="shared" si="54"/>
        <v>0</v>
      </c>
      <c r="LE319" s="3">
        <f t="shared" si="54"/>
        <v>0</v>
      </c>
      <c r="LF319" s="3">
        <f t="shared" si="54"/>
        <v>0</v>
      </c>
      <c r="LG319" s="3">
        <f>LG$338</f>
        <v>0</v>
      </c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8"/>
      <c r="LZ319" s="2">
        <v>0.51661324786324803</v>
      </c>
      <c r="MA319" s="1">
        <f t="shared" si="49"/>
        <v>0</v>
      </c>
      <c r="MB319" s="1">
        <v>0</v>
      </c>
      <c r="MC319" s="2">
        <v>0.51661325000000002</v>
      </c>
      <c r="MD319" s="1">
        <f t="shared" si="50"/>
        <v>0.51661325000000002</v>
      </c>
      <c r="ME319" s="1">
        <f t="shared" si="51"/>
        <v>0.51661325000000002</v>
      </c>
    </row>
    <row r="320" spans="1:343" x14ac:dyDescent="0.2">
      <c r="A320" s="2">
        <v>15</v>
      </c>
      <c r="B320" s="7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>
        <f t="shared" si="54"/>
        <v>0</v>
      </c>
      <c r="KT320" s="3">
        <f t="shared" si="54"/>
        <v>0</v>
      </c>
      <c r="KU320" s="3">
        <f t="shared" si="54"/>
        <v>0</v>
      </c>
      <c r="KV320" s="3">
        <f t="shared" si="54"/>
        <v>0</v>
      </c>
      <c r="KW320" s="3">
        <f t="shared" si="54"/>
        <v>0</v>
      </c>
      <c r="KX320" s="3">
        <f t="shared" si="54"/>
        <v>0</v>
      </c>
      <c r="KY320" s="3">
        <f t="shared" si="54"/>
        <v>0</v>
      </c>
      <c r="KZ320" s="3">
        <f t="shared" si="54"/>
        <v>0</v>
      </c>
      <c r="LA320" s="3">
        <f t="shared" si="54"/>
        <v>0</v>
      </c>
      <c r="LB320" s="3">
        <f t="shared" si="54"/>
        <v>0</v>
      </c>
      <c r="LC320" s="3">
        <f t="shared" si="54"/>
        <v>0</v>
      </c>
      <c r="LD320" s="3">
        <f t="shared" si="54"/>
        <v>0</v>
      </c>
      <c r="LE320" s="3">
        <f t="shared" si="54"/>
        <v>0</v>
      </c>
      <c r="LF320" s="3">
        <f t="shared" si="54"/>
        <v>0</v>
      </c>
      <c r="LG320" s="3">
        <f t="shared" si="54"/>
        <v>0</v>
      </c>
      <c r="LH320" s="3">
        <f>LH$338</f>
        <v>1</v>
      </c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8"/>
      <c r="LZ320" s="2">
        <v>0.59663461538461504</v>
      </c>
      <c r="MA320" s="1">
        <f t="shared" si="49"/>
        <v>1</v>
      </c>
      <c r="MB320" s="1">
        <v>0.40336538</v>
      </c>
      <c r="MC320" s="2">
        <v>0</v>
      </c>
      <c r="MD320" s="1">
        <f t="shared" si="50"/>
        <v>0.59663462</v>
      </c>
      <c r="ME320" s="1">
        <f t="shared" si="51"/>
        <v>0.40336538</v>
      </c>
    </row>
    <row r="321" spans="1:343" x14ac:dyDescent="0.2">
      <c r="A321" s="2">
        <v>15.5</v>
      </c>
      <c r="B321" s="7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>
        <f t="shared" si="54"/>
        <v>0</v>
      </c>
      <c r="KU321" s="3">
        <f t="shared" si="54"/>
        <v>0</v>
      </c>
      <c r="KV321" s="3">
        <f t="shared" si="54"/>
        <v>0</v>
      </c>
      <c r="KW321" s="3">
        <f t="shared" si="54"/>
        <v>0</v>
      </c>
      <c r="KX321" s="3">
        <f t="shared" si="54"/>
        <v>0</v>
      </c>
      <c r="KY321" s="3">
        <f t="shared" si="54"/>
        <v>0</v>
      </c>
      <c r="KZ321" s="3">
        <f t="shared" si="54"/>
        <v>0</v>
      </c>
      <c r="LA321" s="3">
        <f t="shared" si="54"/>
        <v>0</v>
      </c>
      <c r="LB321" s="3">
        <f t="shared" si="54"/>
        <v>0</v>
      </c>
      <c r="LC321" s="3">
        <f t="shared" si="54"/>
        <v>0</v>
      </c>
      <c r="LD321" s="3">
        <f t="shared" si="54"/>
        <v>0</v>
      </c>
      <c r="LE321" s="3">
        <f t="shared" si="54"/>
        <v>0</v>
      </c>
      <c r="LF321" s="3">
        <f t="shared" si="54"/>
        <v>0</v>
      </c>
      <c r="LG321" s="3">
        <f t="shared" si="54"/>
        <v>0</v>
      </c>
      <c r="LH321" s="3">
        <f t="shared" si="54"/>
        <v>1</v>
      </c>
      <c r="LI321" s="3">
        <f>LI$338</f>
        <v>0</v>
      </c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8"/>
      <c r="LZ321" s="2">
        <v>0.59663461538461504</v>
      </c>
      <c r="MA321" s="1">
        <f t="shared" si="49"/>
        <v>1</v>
      </c>
      <c r="MB321" s="1">
        <v>0.40336538</v>
      </c>
      <c r="MC321" s="2">
        <v>0</v>
      </c>
      <c r="MD321" s="1">
        <f t="shared" si="50"/>
        <v>0.59663462</v>
      </c>
      <c r="ME321" s="1">
        <f t="shared" si="51"/>
        <v>0.40336538</v>
      </c>
    </row>
    <row r="322" spans="1:343" x14ac:dyDescent="0.2">
      <c r="A322" s="2">
        <v>16</v>
      </c>
      <c r="B322" s="7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>
        <f t="shared" si="54"/>
        <v>0</v>
      </c>
      <c r="KV322" s="3">
        <f t="shared" si="54"/>
        <v>0</v>
      </c>
      <c r="KW322" s="3">
        <f t="shared" si="54"/>
        <v>0</v>
      </c>
      <c r="KX322" s="3">
        <f t="shared" si="54"/>
        <v>0</v>
      </c>
      <c r="KY322" s="3">
        <f t="shared" si="54"/>
        <v>0</v>
      </c>
      <c r="KZ322" s="3">
        <f t="shared" si="54"/>
        <v>0</v>
      </c>
      <c r="LA322" s="3">
        <f t="shared" si="54"/>
        <v>0</v>
      </c>
      <c r="LB322" s="3">
        <f t="shared" si="54"/>
        <v>0</v>
      </c>
      <c r="LC322" s="3">
        <f t="shared" si="54"/>
        <v>0</v>
      </c>
      <c r="LD322" s="3">
        <f t="shared" si="54"/>
        <v>0</v>
      </c>
      <c r="LE322" s="3">
        <f t="shared" si="54"/>
        <v>0</v>
      </c>
      <c r="LF322" s="3">
        <f t="shared" si="54"/>
        <v>0</v>
      </c>
      <c r="LG322" s="3">
        <f t="shared" si="54"/>
        <v>0</v>
      </c>
      <c r="LH322" s="3">
        <f t="shared" si="54"/>
        <v>1</v>
      </c>
      <c r="LI322" s="3">
        <f t="shared" si="54"/>
        <v>0</v>
      </c>
      <c r="LJ322" s="3">
        <f>LJ$338</f>
        <v>0</v>
      </c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8"/>
      <c r="LZ322" s="2">
        <v>0.62263176638176598</v>
      </c>
      <c r="MA322" s="1">
        <f t="shared" si="49"/>
        <v>1</v>
      </c>
      <c r="MB322" s="1">
        <v>0.37736823000000003</v>
      </c>
      <c r="MC322" s="2">
        <v>0</v>
      </c>
      <c r="MD322" s="1">
        <f t="shared" si="50"/>
        <v>0.62263176999999992</v>
      </c>
      <c r="ME322" s="1">
        <f t="shared" si="51"/>
        <v>0.37736823000000003</v>
      </c>
    </row>
    <row r="323" spans="1:343" x14ac:dyDescent="0.2">
      <c r="A323" s="2">
        <v>16.5</v>
      </c>
      <c r="B323" s="7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>
        <f t="shared" si="54"/>
        <v>0</v>
      </c>
      <c r="KW323" s="3">
        <f t="shared" si="54"/>
        <v>0</v>
      </c>
      <c r="KX323" s="3">
        <f t="shared" si="54"/>
        <v>0</v>
      </c>
      <c r="KY323" s="3">
        <f t="shared" si="54"/>
        <v>0</v>
      </c>
      <c r="KZ323" s="3">
        <f t="shared" si="54"/>
        <v>0</v>
      </c>
      <c r="LA323" s="3">
        <f t="shared" si="54"/>
        <v>0</v>
      </c>
      <c r="LB323" s="3">
        <f t="shared" si="54"/>
        <v>0</v>
      </c>
      <c r="LC323" s="3">
        <f t="shared" si="54"/>
        <v>0</v>
      </c>
      <c r="LD323" s="3">
        <f t="shared" si="54"/>
        <v>0</v>
      </c>
      <c r="LE323" s="3">
        <f t="shared" si="54"/>
        <v>0</v>
      </c>
      <c r="LF323" s="3">
        <f t="shared" si="54"/>
        <v>0</v>
      </c>
      <c r="LG323" s="3">
        <f t="shared" si="54"/>
        <v>0</v>
      </c>
      <c r="LH323" s="3">
        <f t="shared" si="54"/>
        <v>1</v>
      </c>
      <c r="LI323" s="3">
        <f t="shared" si="54"/>
        <v>0</v>
      </c>
      <c r="LJ323" s="3">
        <f t="shared" si="54"/>
        <v>0</v>
      </c>
      <c r="LK323" s="3">
        <f t="shared" si="54"/>
        <v>0</v>
      </c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8"/>
      <c r="LZ323" s="2">
        <v>0.62263176638176598</v>
      </c>
      <c r="MA323" s="1">
        <f t="shared" ref="MA323:MA337" si="55">SUM(B323:LY323)</f>
        <v>1</v>
      </c>
      <c r="MB323" s="1">
        <v>0.37736823000000003</v>
      </c>
      <c r="MC323" s="2">
        <v>0</v>
      </c>
      <c r="MD323" s="1">
        <f t="shared" ref="MD323:MD337" si="56">MC323-MB323+MA323</f>
        <v>0.62263176999999992</v>
      </c>
      <c r="ME323" s="1">
        <f t="shared" ref="ME323:ME337" si="57">MC323+MB323</f>
        <v>0.37736823000000003</v>
      </c>
    </row>
    <row r="324" spans="1:343" x14ac:dyDescent="0.2">
      <c r="A324" s="2">
        <v>17</v>
      </c>
      <c r="B324" s="7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>
        <f t="shared" si="54"/>
        <v>0</v>
      </c>
      <c r="KX324" s="3">
        <f t="shared" si="54"/>
        <v>0</v>
      </c>
      <c r="KY324" s="3">
        <f t="shared" si="54"/>
        <v>0</v>
      </c>
      <c r="KZ324" s="3">
        <f t="shared" si="54"/>
        <v>0</v>
      </c>
      <c r="LA324" s="3">
        <f t="shared" si="54"/>
        <v>0</v>
      </c>
      <c r="LB324" s="3">
        <f t="shared" si="54"/>
        <v>0</v>
      </c>
      <c r="LC324" s="3">
        <f t="shared" si="54"/>
        <v>0</v>
      </c>
      <c r="LD324" s="3">
        <f t="shared" si="54"/>
        <v>0</v>
      </c>
      <c r="LE324" s="3">
        <f t="shared" si="54"/>
        <v>0</v>
      </c>
      <c r="LF324" s="3">
        <f t="shared" si="54"/>
        <v>0</v>
      </c>
      <c r="LG324" s="3">
        <f t="shared" si="54"/>
        <v>0</v>
      </c>
      <c r="LH324" s="3">
        <f t="shared" si="54"/>
        <v>1</v>
      </c>
      <c r="LI324" s="3">
        <f t="shared" si="54"/>
        <v>0</v>
      </c>
      <c r="LJ324" s="3">
        <f t="shared" si="54"/>
        <v>0</v>
      </c>
      <c r="LK324" s="3">
        <f t="shared" si="54"/>
        <v>0</v>
      </c>
      <c r="LL324" s="3">
        <f t="shared" si="54"/>
        <v>0</v>
      </c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8"/>
      <c r="LZ324" s="2">
        <v>0.637126068376068</v>
      </c>
      <c r="MA324" s="1">
        <f t="shared" si="55"/>
        <v>1</v>
      </c>
      <c r="MB324" s="1">
        <v>0.36287393000000001</v>
      </c>
      <c r="MC324" s="2">
        <v>0</v>
      </c>
      <c r="MD324" s="1">
        <f t="shared" si="56"/>
        <v>0.63712606999999999</v>
      </c>
      <c r="ME324" s="1">
        <f t="shared" si="57"/>
        <v>0.36287393000000001</v>
      </c>
    </row>
    <row r="325" spans="1:343" x14ac:dyDescent="0.2">
      <c r="A325" s="2">
        <v>17.5</v>
      </c>
      <c r="B325" s="7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>
        <f t="shared" si="54"/>
        <v>0</v>
      </c>
      <c r="KY325" s="3">
        <f t="shared" si="54"/>
        <v>0</v>
      </c>
      <c r="KZ325" s="3">
        <f t="shared" si="54"/>
        <v>0</v>
      </c>
      <c r="LA325" s="3">
        <f t="shared" si="54"/>
        <v>0</v>
      </c>
      <c r="LB325" s="3">
        <f t="shared" si="54"/>
        <v>0</v>
      </c>
      <c r="LC325" s="3">
        <f t="shared" si="54"/>
        <v>0</v>
      </c>
      <c r="LD325" s="3">
        <f t="shared" si="54"/>
        <v>0</v>
      </c>
      <c r="LE325" s="3">
        <f t="shared" si="54"/>
        <v>0</v>
      </c>
      <c r="LF325" s="3">
        <f t="shared" si="54"/>
        <v>0</v>
      </c>
      <c r="LG325" s="3">
        <f t="shared" si="54"/>
        <v>0</v>
      </c>
      <c r="LH325" s="3">
        <f t="shared" si="54"/>
        <v>1</v>
      </c>
      <c r="LI325" s="3">
        <f t="shared" si="54"/>
        <v>0</v>
      </c>
      <c r="LJ325" s="3">
        <f t="shared" si="54"/>
        <v>0</v>
      </c>
      <c r="LK325" s="3">
        <f t="shared" si="54"/>
        <v>0</v>
      </c>
      <c r="LL325" s="3">
        <f t="shared" si="54"/>
        <v>0</v>
      </c>
      <c r="LM325" s="3">
        <f t="shared" ref="LM325:LY337" si="58">LM$338</f>
        <v>0</v>
      </c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8"/>
      <c r="LZ325" s="2">
        <v>0.637126068376068</v>
      </c>
      <c r="MA325" s="1">
        <f t="shared" si="55"/>
        <v>1</v>
      </c>
      <c r="MB325" s="1">
        <v>0.36287393000000001</v>
      </c>
      <c r="MC325" s="2">
        <v>0</v>
      </c>
      <c r="MD325" s="1">
        <f t="shared" si="56"/>
        <v>0.63712606999999999</v>
      </c>
      <c r="ME325" s="1">
        <f t="shared" si="57"/>
        <v>0.36287393000000001</v>
      </c>
    </row>
    <row r="326" spans="1:343" x14ac:dyDescent="0.2">
      <c r="A326" s="2">
        <v>18</v>
      </c>
      <c r="B326" s="7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>
        <f t="shared" si="54"/>
        <v>0</v>
      </c>
      <c r="KZ326" s="3">
        <f t="shared" si="54"/>
        <v>0</v>
      </c>
      <c r="LA326" s="3">
        <f t="shared" si="54"/>
        <v>0</v>
      </c>
      <c r="LB326" s="3">
        <f t="shared" si="54"/>
        <v>0</v>
      </c>
      <c r="LC326" s="3">
        <f t="shared" si="54"/>
        <v>0</v>
      </c>
      <c r="LD326" s="3">
        <f t="shared" si="54"/>
        <v>0</v>
      </c>
      <c r="LE326" s="3">
        <f t="shared" si="54"/>
        <v>0</v>
      </c>
      <c r="LF326" s="3">
        <f t="shared" si="54"/>
        <v>0</v>
      </c>
      <c r="LG326" s="3">
        <f t="shared" si="54"/>
        <v>0</v>
      </c>
      <c r="LH326" s="3">
        <f t="shared" si="54"/>
        <v>1</v>
      </c>
      <c r="LI326" s="3">
        <f t="shared" si="54"/>
        <v>0</v>
      </c>
      <c r="LJ326" s="3">
        <f t="shared" si="54"/>
        <v>0</v>
      </c>
      <c r="LK326" s="3">
        <f t="shared" si="54"/>
        <v>0</v>
      </c>
      <c r="LL326" s="3">
        <f t="shared" ref="LL326:LL337" si="59">LL$338</f>
        <v>0</v>
      </c>
      <c r="LM326" s="3">
        <f t="shared" si="58"/>
        <v>0</v>
      </c>
      <c r="LN326" s="3">
        <f t="shared" si="58"/>
        <v>0</v>
      </c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8"/>
      <c r="LZ326" s="2">
        <v>0.65105056980056997</v>
      </c>
      <c r="MA326" s="1">
        <f t="shared" si="55"/>
        <v>1</v>
      </c>
      <c r="MB326" s="1">
        <v>0.34894943</v>
      </c>
      <c r="MC326" s="2">
        <v>0</v>
      </c>
      <c r="MD326" s="1">
        <f t="shared" si="56"/>
        <v>0.65105057</v>
      </c>
      <c r="ME326" s="1">
        <f t="shared" si="57"/>
        <v>0.34894943</v>
      </c>
    </row>
    <row r="327" spans="1:343" x14ac:dyDescent="0.2">
      <c r="A327" s="2">
        <v>18.5</v>
      </c>
      <c r="B327" s="7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>
        <f t="shared" si="54"/>
        <v>0</v>
      </c>
      <c r="LA327" s="3">
        <f t="shared" si="54"/>
        <v>0</v>
      </c>
      <c r="LB327" s="3">
        <f t="shared" si="54"/>
        <v>0</v>
      </c>
      <c r="LC327" s="3">
        <f t="shared" si="54"/>
        <v>0</v>
      </c>
      <c r="LD327" s="3">
        <f t="shared" si="54"/>
        <v>0</v>
      </c>
      <c r="LE327" s="3">
        <f t="shared" si="54"/>
        <v>0</v>
      </c>
      <c r="LF327" s="3">
        <f t="shared" si="54"/>
        <v>0</v>
      </c>
      <c r="LG327" s="3">
        <f t="shared" si="54"/>
        <v>0</v>
      </c>
      <c r="LH327" s="3">
        <f t="shared" si="54"/>
        <v>1</v>
      </c>
      <c r="LI327" s="3">
        <f t="shared" si="54"/>
        <v>0</v>
      </c>
      <c r="LJ327" s="3">
        <f t="shared" si="54"/>
        <v>0</v>
      </c>
      <c r="LK327" s="3">
        <f t="shared" si="54"/>
        <v>0</v>
      </c>
      <c r="LL327" s="3">
        <f t="shared" si="59"/>
        <v>0</v>
      </c>
      <c r="LM327" s="3">
        <f t="shared" si="58"/>
        <v>0</v>
      </c>
      <c r="LN327" s="3">
        <f t="shared" si="58"/>
        <v>0</v>
      </c>
      <c r="LO327" s="3">
        <f t="shared" si="58"/>
        <v>0</v>
      </c>
      <c r="LP327" s="3"/>
      <c r="LQ327" s="3"/>
      <c r="LR327" s="3"/>
      <c r="LS327" s="3"/>
      <c r="LT327" s="3"/>
      <c r="LU327" s="3"/>
      <c r="LV327" s="3"/>
      <c r="LW327" s="3"/>
      <c r="LX327" s="3"/>
      <c r="LY327" s="8"/>
      <c r="LZ327" s="2">
        <v>0.65105056980056997</v>
      </c>
      <c r="MA327" s="1">
        <f t="shared" si="55"/>
        <v>1</v>
      </c>
      <c r="MB327" s="1">
        <v>0.34894943</v>
      </c>
      <c r="MC327" s="2">
        <v>0</v>
      </c>
      <c r="MD327" s="1">
        <f t="shared" si="56"/>
        <v>0.65105057</v>
      </c>
      <c r="ME327" s="1">
        <f t="shared" si="57"/>
        <v>0.34894943</v>
      </c>
    </row>
    <row r="328" spans="1:343" x14ac:dyDescent="0.2">
      <c r="A328" s="2">
        <v>19</v>
      </c>
      <c r="B328" s="7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>
        <f t="shared" si="54"/>
        <v>0</v>
      </c>
      <c r="LB328" s="3">
        <f t="shared" si="54"/>
        <v>0</v>
      </c>
      <c r="LC328" s="3">
        <f t="shared" si="54"/>
        <v>0</v>
      </c>
      <c r="LD328" s="3">
        <f t="shared" si="54"/>
        <v>0</v>
      </c>
      <c r="LE328" s="3">
        <f t="shared" si="54"/>
        <v>0</v>
      </c>
      <c r="LF328" s="3">
        <f t="shared" si="54"/>
        <v>0</v>
      </c>
      <c r="LG328" s="3">
        <f t="shared" si="54"/>
        <v>0</v>
      </c>
      <c r="LH328" s="3">
        <f t="shared" si="54"/>
        <v>1</v>
      </c>
      <c r="LI328" s="3">
        <f t="shared" si="54"/>
        <v>0</v>
      </c>
      <c r="LJ328" s="3">
        <f t="shared" si="54"/>
        <v>0</v>
      </c>
      <c r="LK328" s="3">
        <f t="shared" si="54"/>
        <v>0</v>
      </c>
      <c r="LL328" s="3">
        <f t="shared" si="59"/>
        <v>0</v>
      </c>
      <c r="LM328" s="3">
        <f t="shared" si="58"/>
        <v>0</v>
      </c>
      <c r="LN328" s="3">
        <f t="shared" si="58"/>
        <v>0</v>
      </c>
      <c r="LO328" s="3">
        <f t="shared" si="58"/>
        <v>0</v>
      </c>
      <c r="LP328" s="3">
        <f t="shared" si="58"/>
        <v>0</v>
      </c>
      <c r="LQ328" s="3"/>
      <c r="LR328" s="3"/>
      <c r="LS328" s="3"/>
      <c r="LT328" s="3"/>
      <c r="LU328" s="3"/>
      <c r="LV328" s="3"/>
      <c r="LW328" s="3"/>
      <c r="LX328" s="3"/>
      <c r="LY328" s="8"/>
      <c r="LZ328" s="2">
        <v>0.65587606837606804</v>
      </c>
      <c r="MA328" s="1">
        <f t="shared" si="55"/>
        <v>1</v>
      </c>
      <c r="MB328" s="1">
        <v>0.34412393000000002</v>
      </c>
      <c r="MC328" s="2">
        <v>0</v>
      </c>
      <c r="MD328" s="1">
        <f t="shared" si="56"/>
        <v>0.65587606999999992</v>
      </c>
      <c r="ME328" s="1">
        <f t="shared" si="57"/>
        <v>0.34412393000000002</v>
      </c>
    </row>
    <row r="329" spans="1:343" x14ac:dyDescent="0.2">
      <c r="A329" s="2">
        <v>19.5</v>
      </c>
      <c r="B329" s="7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>
        <f t="shared" si="54"/>
        <v>0</v>
      </c>
      <c r="LC329" s="3">
        <f t="shared" si="54"/>
        <v>0</v>
      </c>
      <c r="LD329" s="3">
        <f t="shared" si="54"/>
        <v>0</v>
      </c>
      <c r="LE329" s="3">
        <f t="shared" si="54"/>
        <v>0</v>
      </c>
      <c r="LF329" s="3">
        <f t="shared" si="54"/>
        <v>0</v>
      </c>
      <c r="LG329" s="3">
        <f t="shared" si="54"/>
        <v>0</v>
      </c>
      <c r="LH329" s="3">
        <f t="shared" si="54"/>
        <v>1</v>
      </c>
      <c r="LI329" s="3">
        <f t="shared" si="54"/>
        <v>0</v>
      </c>
      <c r="LJ329" s="3">
        <f t="shared" si="54"/>
        <v>0</v>
      </c>
      <c r="LK329" s="3">
        <f t="shared" si="54"/>
        <v>0</v>
      </c>
      <c r="LL329" s="3">
        <f t="shared" si="59"/>
        <v>0</v>
      </c>
      <c r="LM329" s="3">
        <f t="shared" si="58"/>
        <v>0</v>
      </c>
      <c r="LN329" s="3">
        <f t="shared" si="58"/>
        <v>0</v>
      </c>
      <c r="LO329" s="3">
        <f t="shared" si="58"/>
        <v>0</v>
      </c>
      <c r="LP329" s="3">
        <f t="shared" si="58"/>
        <v>0</v>
      </c>
      <c r="LQ329" s="3">
        <f t="shared" si="58"/>
        <v>0</v>
      </c>
      <c r="LR329" s="3"/>
      <c r="LS329" s="3"/>
      <c r="LT329" s="3"/>
      <c r="LU329" s="3"/>
      <c r="LV329" s="3"/>
      <c r="LW329" s="3"/>
      <c r="LX329" s="3"/>
      <c r="LY329" s="8"/>
      <c r="LZ329" s="2">
        <v>0.65587606837606804</v>
      </c>
      <c r="MA329" s="1">
        <f t="shared" si="55"/>
        <v>1</v>
      </c>
      <c r="MB329" s="1">
        <v>0.34412393000000002</v>
      </c>
      <c r="MC329" s="2">
        <v>0</v>
      </c>
      <c r="MD329" s="1">
        <f t="shared" si="56"/>
        <v>0.65587606999999992</v>
      </c>
      <c r="ME329" s="1">
        <f t="shared" si="57"/>
        <v>0.34412393000000002</v>
      </c>
    </row>
    <row r="330" spans="1:343" x14ac:dyDescent="0.2">
      <c r="A330" s="2">
        <v>20</v>
      </c>
      <c r="B330" s="7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>
        <f t="shared" si="54"/>
        <v>0</v>
      </c>
      <c r="LD330" s="3">
        <f t="shared" si="54"/>
        <v>0</v>
      </c>
      <c r="LE330" s="3">
        <f t="shared" si="54"/>
        <v>0</v>
      </c>
      <c r="LF330" s="3">
        <f t="shared" si="54"/>
        <v>0</v>
      </c>
      <c r="LG330" s="3">
        <f t="shared" si="54"/>
        <v>0</v>
      </c>
      <c r="LH330" s="3">
        <f t="shared" si="54"/>
        <v>1</v>
      </c>
      <c r="LI330" s="3">
        <f t="shared" si="54"/>
        <v>0</v>
      </c>
      <c r="LJ330" s="3">
        <f t="shared" si="54"/>
        <v>0</v>
      </c>
      <c r="LK330" s="3">
        <f t="shared" si="54"/>
        <v>0</v>
      </c>
      <c r="LL330" s="3">
        <f t="shared" si="59"/>
        <v>0</v>
      </c>
      <c r="LM330" s="3">
        <f t="shared" si="58"/>
        <v>0</v>
      </c>
      <c r="LN330" s="3">
        <f t="shared" si="58"/>
        <v>0</v>
      </c>
      <c r="LO330" s="3">
        <f t="shared" si="58"/>
        <v>0</v>
      </c>
      <c r="LP330" s="3">
        <f t="shared" si="58"/>
        <v>0</v>
      </c>
      <c r="LQ330" s="3">
        <f t="shared" si="58"/>
        <v>0</v>
      </c>
      <c r="LR330" s="3">
        <f t="shared" si="58"/>
        <v>0</v>
      </c>
      <c r="LS330" s="3"/>
      <c r="LT330" s="3"/>
      <c r="LU330" s="3"/>
      <c r="LV330" s="3"/>
      <c r="LW330" s="3"/>
      <c r="LX330" s="3"/>
      <c r="LY330" s="8"/>
      <c r="LZ330" s="2">
        <v>0.65680199430199404</v>
      </c>
      <c r="MA330" s="1">
        <f t="shared" si="55"/>
        <v>1</v>
      </c>
      <c r="MB330" s="1">
        <v>0.34319801</v>
      </c>
      <c r="MC330" s="2">
        <v>0</v>
      </c>
      <c r="MD330" s="1">
        <f t="shared" si="56"/>
        <v>0.65680198999999995</v>
      </c>
      <c r="ME330" s="1">
        <f t="shared" si="57"/>
        <v>0.34319801</v>
      </c>
    </row>
    <row r="331" spans="1:343" x14ac:dyDescent="0.2">
      <c r="A331" s="2">
        <v>20.5</v>
      </c>
      <c r="B331" s="7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>
        <f t="shared" si="54"/>
        <v>0</v>
      </c>
      <c r="LE331" s="3">
        <f t="shared" si="54"/>
        <v>0</v>
      </c>
      <c r="LF331" s="3">
        <f t="shared" si="54"/>
        <v>0</v>
      </c>
      <c r="LG331" s="3">
        <f t="shared" si="54"/>
        <v>0</v>
      </c>
      <c r="LH331" s="3">
        <f t="shared" si="54"/>
        <v>1</v>
      </c>
      <c r="LI331" s="3">
        <f t="shared" si="54"/>
        <v>0</v>
      </c>
      <c r="LJ331" s="3">
        <f t="shared" si="54"/>
        <v>0</v>
      </c>
      <c r="LK331" s="3">
        <f t="shared" si="54"/>
        <v>0</v>
      </c>
      <c r="LL331" s="3">
        <f t="shared" si="59"/>
        <v>0</v>
      </c>
      <c r="LM331" s="3">
        <f t="shared" si="58"/>
        <v>0</v>
      </c>
      <c r="LN331" s="3">
        <f t="shared" si="58"/>
        <v>0</v>
      </c>
      <c r="LO331" s="3">
        <f t="shared" si="58"/>
        <v>0</v>
      </c>
      <c r="LP331" s="3">
        <f t="shared" si="58"/>
        <v>0</v>
      </c>
      <c r="LQ331" s="3">
        <f t="shared" si="58"/>
        <v>0</v>
      </c>
      <c r="LR331" s="3">
        <f t="shared" si="58"/>
        <v>0</v>
      </c>
      <c r="LS331" s="3">
        <f t="shared" si="58"/>
        <v>0</v>
      </c>
      <c r="LT331" s="3"/>
      <c r="LU331" s="3"/>
      <c r="LV331" s="3"/>
      <c r="LW331" s="3"/>
      <c r="LX331" s="3"/>
      <c r="LY331" s="8"/>
      <c r="LZ331" s="2">
        <v>0.65680199430199404</v>
      </c>
      <c r="MA331" s="1">
        <f t="shared" si="55"/>
        <v>1</v>
      </c>
      <c r="MB331" s="1">
        <v>0.34319801</v>
      </c>
      <c r="MC331" s="2">
        <v>0</v>
      </c>
      <c r="MD331" s="1">
        <f t="shared" si="56"/>
        <v>0.65680198999999995</v>
      </c>
      <c r="ME331" s="1">
        <f t="shared" si="57"/>
        <v>0.34319801</v>
      </c>
    </row>
    <row r="332" spans="1:343" x14ac:dyDescent="0.2">
      <c r="A332" s="2">
        <v>21</v>
      </c>
      <c r="B332" s="7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>
        <f t="shared" si="54"/>
        <v>0</v>
      </c>
      <c r="LF332" s="3">
        <f t="shared" si="54"/>
        <v>0</v>
      </c>
      <c r="LG332" s="3">
        <f t="shared" si="54"/>
        <v>0</v>
      </c>
      <c r="LH332" s="3">
        <f t="shared" si="54"/>
        <v>1</v>
      </c>
      <c r="LI332" s="3">
        <f t="shared" si="54"/>
        <v>0</v>
      </c>
      <c r="LJ332" s="3">
        <f t="shared" si="54"/>
        <v>0</v>
      </c>
      <c r="LK332" s="3">
        <f t="shared" si="54"/>
        <v>0</v>
      </c>
      <c r="LL332" s="3">
        <f t="shared" si="59"/>
        <v>0</v>
      </c>
      <c r="LM332" s="3">
        <f t="shared" si="58"/>
        <v>0</v>
      </c>
      <c r="LN332" s="3">
        <f t="shared" si="58"/>
        <v>0</v>
      </c>
      <c r="LO332" s="3">
        <f t="shared" si="58"/>
        <v>0</v>
      </c>
      <c r="LP332" s="3">
        <f t="shared" si="58"/>
        <v>0</v>
      </c>
      <c r="LQ332" s="3">
        <f t="shared" si="58"/>
        <v>0</v>
      </c>
      <c r="LR332" s="3">
        <f t="shared" si="58"/>
        <v>0</v>
      </c>
      <c r="LS332" s="3">
        <f t="shared" si="58"/>
        <v>0</v>
      </c>
      <c r="LT332" s="3">
        <f t="shared" si="58"/>
        <v>0</v>
      </c>
      <c r="LU332" s="3"/>
      <c r="LV332" s="3"/>
      <c r="LW332" s="3"/>
      <c r="LX332" s="3"/>
      <c r="LY332" s="8"/>
      <c r="LZ332" s="2">
        <v>0.67207977207977199</v>
      </c>
      <c r="MA332" s="1">
        <f t="shared" si="55"/>
        <v>1</v>
      </c>
      <c r="MB332" s="1">
        <v>0.32792022999999998</v>
      </c>
      <c r="MC332" s="2">
        <v>0</v>
      </c>
      <c r="MD332" s="1">
        <f t="shared" si="56"/>
        <v>0.67207977000000008</v>
      </c>
      <c r="ME332" s="1">
        <f t="shared" si="57"/>
        <v>0.32792022999999998</v>
      </c>
    </row>
    <row r="333" spans="1:343" x14ac:dyDescent="0.2">
      <c r="A333" s="2">
        <v>21.5</v>
      </c>
      <c r="B333" s="7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>
        <f t="shared" si="54"/>
        <v>0</v>
      </c>
      <c r="LG333" s="3">
        <f t="shared" si="54"/>
        <v>0</v>
      </c>
      <c r="LH333" s="3">
        <f t="shared" si="54"/>
        <v>1</v>
      </c>
      <c r="LI333" s="3">
        <f t="shared" si="54"/>
        <v>0</v>
      </c>
      <c r="LJ333" s="3">
        <f t="shared" si="54"/>
        <v>0</v>
      </c>
      <c r="LK333" s="3">
        <f t="shared" si="54"/>
        <v>0</v>
      </c>
      <c r="LL333" s="3">
        <f t="shared" si="59"/>
        <v>0</v>
      </c>
      <c r="LM333" s="3">
        <f t="shared" si="58"/>
        <v>0</v>
      </c>
      <c r="LN333" s="3">
        <f t="shared" si="58"/>
        <v>0</v>
      </c>
      <c r="LO333" s="3">
        <f t="shared" si="58"/>
        <v>0</v>
      </c>
      <c r="LP333" s="3">
        <f t="shared" si="58"/>
        <v>0</v>
      </c>
      <c r="LQ333" s="3">
        <f t="shared" si="58"/>
        <v>0</v>
      </c>
      <c r="LR333" s="3">
        <f t="shared" si="58"/>
        <v>0</v>
      </c>
      <c r="LS333" s="3">
        <f t="shared" si="58"/>
        <v>0</v>
      </c>
      <c r="LT333" s="3">
        <f t="shared" si="58"/>
        <v>0</v>
      </c>
      <c r="LU333" s="3">
        <f t="shared" si="58"/>
        <v>0</v>
      </c>
      <c r="LV333" s="3"/>
      <c r="LW333" s="3"/>
      <c r="LX333" s="3"/>
      <c r="LY333" s="8"/>
      <c r="LZ333" s="2">
        <v>0.67207977207977199</v>
      </c>
      <c r="MA333" s="1">
        <f t="shared" si="55"/>
        <v>1</v>
      </c>
      <c r="MB333" s="1">
        <v>0.32792022999999998</v>
      </c>
      <c r="MC333" s="2">
        <v>0</v>
      </c>
      <c r="MD333" s="1">
        <f t="shared" si="56"/>
        <v>0.67207977000000008</v>
      </c>
      <c r="ME333" s="1">
        <f t="shared" si="57"/>
        <v>0.32792022999999998</v>
      </c>
    </row>
    <row r="334" spans="1:343" x14ac:dyDescent="0.2">
      <c r="A334" s="2">
        <v>22</v>
      </c>
      <c r="B334" s="7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>
        <f t="shared" si="54"/>
        <v>0</v>
      </c>
      <c r="LH334" s="3">
        <f t="shared" si="54"/>
        <v>1</v>
      </c>
      <c r="LI334" s="3">
        <f t="shared" si="54"/>
        <v>0</v>
      </c>
      <c r="LJ334" s="3">
        <f t="shared" si="54"/>
        <v>0</v>
      </c>
      <c r="LK334" s="3">
        <f t="shared" si="54"/>
        <v>0</v>
      </c>
      <c r="LL334" s="3">
        <f t="shared" si="59"/>
        <v>0</v>
      </c>
      <c r="LM334" s="3">
        <f t="shared" si="58"/>
        <v>0</v>
      </c>
      <c r="LN334" s="3">
        <f t="shared" si="58"/>
        <v>0</v>
      </c>
      <c r="LO334" s="3">
        <f t="shared" si="58"/>
        <v>0</v>
      </c>
      <c r="LP334" s="3">
        <f t="shared" si="58"/>
        <v>0</v>
      </c>
      <c r="LQ334" s="3">
        <f t="shared" si="58"/>
        <v>0</v>
      </c>
      <c r="LR334" s="3">
        <f t="shared" si="58"/>
        <v>0</v>
      </c>
      <c r="LS334" s="3">
        <f t="shared" si="58"/>
        <v>0</v>
      </c>
      <c r="LT334" s="3">
        <f t="shared" si="58"/>
        <v>0</v>
      </c>
      <c r="LU334" s="3">
        <f t="shared" si="58"/>
        <v>0</v>
      </c>
      <c r="LV334" s="3">
        <f t="shared" si="58"/>
        <v>0</v>
      </c>
      <c r="LW334" s="3"/>
      <c r="LX334" s="3"/>
      <c r="LY334" s="8"/>
      <c r="LZ334" s="2">
        <v>0.62099358974358998</v>
      </c>
      <c r="MA334" s="1">
        <f t="shared" si="55"/>
        <v>1</v>
      </c>
      <c r="MB334" s="1">
        <v>0.37900641000000002</v>
      </c>
      <c r="MC334" s="2">
        <v>0</v>
      </c>
      <c r="MD334" s="1">
        <f t="shared" si="56"/>
        <v>0.62099358999999998</v>
      </c>
      <c r="ME334" s="1">
        <f t="shared" si="57"/>
        <v>0.37900641000000002</v>
      </c>
    </row>
    <row r="335" spans="1:343" x14ac:dyDescent="0.2">
      <c r="A335" s="2">
        <v>22.5</v>
      </c>
      <c r="B335" s="7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>
        <f t="shared" si="54"/>
        <v>1</v>
      </c>
      <c r="LI335" s="3">
        <f t="shared" si="54"/>
        <v>0</v>
      </c>
      <c r="LJ335" s="3">
        <f t="shared" si="54"/>
        <v>0</v>
      </c>
      <c r="LK335" s="3">
        <f t="shared" si="54"/>
        <v>0</v>
      </c>
      <c r="LL335" s="3">
        <f t="shared" si="59"/>
        <v>0</v>
      </c>
      <c r="LM335" s="3">
        <f t="shared" si="58"/>
        <v>0</v>
      </c>
      <c r="LN335" s="3">
        <f t="shared" si="58"/>
        <v>0</v>
      </c>
      <c r="LO335" s="3">
        <f t="shared" si="58"/>
        <v>0</v>
      </c>
      <c r="LP335" s="3">
        <f t="shared" si="58"/>
        <v>0</v>
      </c>
      <c r="LQ335" s="3">
        <f t="shared" si="58"/>
        <v>0</v>
      </c>
      <c r="LR335" s="3">
        <f t="shared" si="58"/>
        <v>0</v>
      </c>
      <c r="LS335" s="3">
        <f t="shared" si="58"/>
        <v>0</v>
      </c>
      <c r="LT335" s="3">
        <f t="shared" si="58"/>
        <v>0</v>
      </c>
      <c r="LU335" s="3">
        <f t="shared" si="58"/>
        <v>0</v>
      </c>
      <c r="LV335" s="3">
        <f t="shared" si="58"/>
        <v>0</v>
      </c>
      <c r="LW335" s="3">
        <f t="shared" si="58"/>
        <v>0</v>
      </c>
      <c r="LX335" s="3"/>
      <c r="LY335" s="8"/>
      <c r="LZ335" s="2">
        <v>0.62099358974358998</v>
      </c>
      <c r="MA335" s="1">
        <f t="shared" si="55"/>
        <v>1</v>
      </c>
      <c r="MB335" s="1">
        <v>0.37900641000000002</v>
      </c>
      <c r="MC335" s="2">
        <v>0</v>
      </c>
      <c r="MD335" s="1">
        <f t="shared" si="56"/>
        <v>0.62099358999999998</v>
      </c>
      <c r="ME335" s="1">
        <f t="shared" si="57"/>
        <v>0.37900641000000002</v>
      </c>
    </row>
    <row r="336" spans="1:343" x14ac:dyDescent="0.2">
      <c r="A336" s="2">
        <v>23</v>
      </c>
      <c r="B336" s="7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>
        <f t="shared" si="54"/>
        <v>0</v>
      </c>
      <c r="LJ336" s="3">
        <f t="shared" si="54"/>
        <v>0</v>
      </c>
      <c r="LK336" s="3">
        <f t="shared" si="54"/>
        <v>0</v>
      </c>
      <c r="LL336" s="3">
        <f t="shared" si="59"/>
        <v>0</v>
      </c>
      <c r="LM336" s="3">
        <f t="shared" si="58"/>
        <v>0</v>
      </c>
      <c r="LN336" s="3">
        <f t="shared" si="58"/>
        <v>0</v>
      </c>
      <c r="LO336" s="3">
        <f t="shared" si="58"/>
        <v>0</v>
      </c>
      <c r="LP336" s="3">
        <f t="shared" si="58"/>
        <v>0</v>
      </c>
      <c r="LQ336" s="3">
        <f t="shared" si="58"/>
        <v>0</v>
      </c>
      <c r="LR336" s="3">
        <f t="shared" si="58"/>
        <v>0</v>
      </c>
      <c r="LS336" s="3">
        <f t="shared" si="58"/>
        <v>0</v>
      </c>
      <c r="LT336" s="3">
        <f t="shared" si="58"/>
        <v>0</v>
      </c>
      <c r="LU336" s="3">
        <f t="shared" si="58"/>
        <v>0</v>
      </c>
      <c r="LV336" s="3">
        <f t="shared" si="58"/>
        <v>0</v>
      </c>
      <c r="LW336" s="3">
        <f t="shared" si="58"/>
        <v>0</v>
      </c>
      <c r="LX336" s="3">
        <f t="shared" si="58"/>
        <v>0</v>
      </c>
      <c r="LY336" s="8"/>
      <c r="LZ336" s="2">
        <v>0.52608618233618198</v>
      </c>
      <c r="MA336" s="1">
        <f t="shared" si="55"/>
        <v>0</v>
      </c>
      <c r="MB336" s="1">
        <v>0</v>
      </c>
      <c r="MC336" s="2">
        <v>0.52608617999999996</v>
      </c>
      <c r="MD336" s="1">
        <f t="shared" si="56"/>
        <v>0.52608617999999996</v>
      </c>
      <c r="ME336" s="1">
        <f t="shared" si="57"/>
        <v>0.52608617999999996</v>
      </c>
    </row>
    <row r="337" spans="1:343" x14ac:dyDescent="0.2">
      <c r="A337" s="2">
        <v>23.5</v>
      </c>
      <c r="B337" s="9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  <c r="BB337" s="10"/>
      <c r="BC337" s="10"/>
      <c r="BD337" s="10"/>
      <c r="BE337" s="10"/>
      <c r="BF337" s="10"/>
      <c r="BG337" s="10"/>
      <c r="BH337" s="10"/>
      <c r="BI337" s="10"/>
      <c r="BJ337" s="10"/>
      <c r="BK337" s="10"/>
      <c r="BL337" s="10"/>
      <c r="BM337" s="10"/>
      <c r="BN337" s="10"/>
      <c r="BO337" s="10"/>
      <c r="BP337" s="10"/>
      <c r="BQ337" s="10"/>
      <c r="BR337" s="10"/>
      <c r="BS337" s="10"/>
      <c r="BT337" s="10"/>
      <c r="BU337" s="10"/>
      <c r="BV337" s="10"/>
      <c r="BW337" s="10"/>
      <c r="BX337" s="10"/>
      <c r="BY337" s="10"/>
      <c r="BZ337" s="10"/>
      <c r="CA337" s="10"/>
      <c r="CB337" s="10"/>
      <c r="CC337" s="10"/>
      <c r="CD337" s="10"/>
      <c r="CE337" s="10"/>
      <c r="CF337" s="10"/>
      <c r="CG337" s="10"/>
      <c r="CH337" s="10"/>
      <c r="CI337" s="10"/>
      <c r="CJ337" s="10"/>
      <c r="CK337" s="10"/>
      <c r="CL337" s="10"/>
      <c r="CM337" s="10"/>
      <c r="CN337" s="10"/>
      <c r="CO337" s="10"/>
      <c r="CP337" s="10"/>
      <c r="CQ337" s="10"/>
      <c r="CR337" s="10"/>
      <c r="CS337" s="10"/>
      <c r="CT337" s="10"/>
      <c r="CU337" s="10"/>
      <c r="CV337" s="10"/>
      <c r="CW337" s="10"/>
      <c r="CX337" s="10"/>
      <c r="CY337" s="10"/>
      <c r="CZ337" s="10"/>
      <c r="DA337" s="10"/>
      <c r="DB337" s="10"/>
      <c r="DC337" s="10"/>
      <c r="DD337" s="10"/>
      <c r="DE337" s="10"/>
      <c r="DF337" s="10"/>
      <c r="DG337" s="10"/>
      <c r="DH337" s="10"/>
      <c r="DI337" s="10"/>
      <c r="DJ337" s="10"/>
      <c r="DK337" s="10"/>
      <c r="DL337" s="10"/>
      <c r="DM337" s="10"/>
      <c r="DN337" s="10"/>
      <c r="DO337" s="10"/>
      <c r="DP337" s="10"/>
      <c r="DQ337" s="10"/>
      <c r="DR337" s="10"/>
      <c r="DS337" s="10"/>
      <c r="DT337" s="10"/>
      <c r="DU337" s="10"/>
      <c r="DV337" s="10"/>
      <c r="DW337" s="10"/>
      <c r="DX337" s="10"/>
      <c r="DY337" s="10"/>
      <c r="DZ337" s="10"/>
      <c r="EA337" s="10"/>
      <c r="EB337" s="10"/>
      <c r="EC337" s="10"/>
      <c r="ED337" s="10"/>
      <c r="EE337" s="10"/>
      <c r="EF337" s="10"/>
      <c r="EG337" s="10"/>
      <c r="EH337" s="10"/>
      <c r="EI337" s="10"/>
      <c r="EJ337" s="10"/>
      <c r="EK337" s="10"/>
      <c r="EL337" s="10"/>
      <c r="EM337" s="10"/>
      <c r="EN337" s="10"/>
      <c r="EO337" s="10"/>
      <c r="EP337" s="10"/>
      <c r="EQ337" s="10"/>
      <c r="ER337" s="10"/>
      <c r="ES337" s="10"/>
      <c r="ET337" s="10"/>
      <c r="EU337" s="10"/>
      <c r="EV337" s="10"/>
      <c r="EW337" s="10"/>
      <c r="EX337" s="10"/>
      <c r="EY337" s="10"/>
      <c r="EZ337" s="10"/>
      <c r="FA337" s="10"/>
      <c r="FB337" s="10"/>
      <c r="FC337" s="10"/>
      <c r="FD337" s="10"/>
      <c r="FE337" s="10"/>
      <c r="FF337" s="10"/>
      <c r="FG337" s="10"/>
      <c r="FH337" s="10"/>
      <c r="FI337" s="10"/>
      <c r="FJ337" s="10"/>
      <c r="FK337" s="10"/>
      <c r="FL337" s="10"/>
      <c r="FM337" s="10"/>
      <c r="FN337" s="10"/>
      <c r="FO337" s="10"/>
      <c r="FP337" s="10"/>
      <c r="FQ337" s="10"/>
      <c r="FR337" s="10"/>
      <c r="FS337" s="10"/>
      <c r="FT337" s="10"/>
      <c r="FU337" s="10"/>
      <c r="FV337" s="10"/>
      <c r="FW337" s="10"/>
      <c r="FX337" s="10"/>
      <c r="FY337" s="10"/>
      <c r="FZ337" s="10"/>
      <c r="GA337" s="10"/>
      <c r="GB337" s="10"/>
      <c r="GC337" s="10"/>
      <c r="GD337" s="10"/>
      <c r="GE337" s="10"/>
      <c r="GF337" s="10"/>
      <c r="GG337" s="10"/>
      <c r="GH337" s="10"/>
      <c r="GI337" s="10"/>
      <c r="GJ337" s="10"/>
      <c r="GK337" s="10"/>
      <c r="GL337" s="10"/>
      <c r="GM337" s="10"/>
      <c r="GN337" s="10"/>
      <c r="GO337" s="10"/>
      <c r="GP337" s="10"/>
      <c r="GQ337" s="10"/>
      <c r="GR337" s="10"/>
      <c r="GS337" s="10"/>
      <c r="GT337" s="10"/>
      <c r="GU337" s="10"/>
      <c r="GV337" s="10"/>
      <c r="GW337" s="10"/>
      <c r="GX337" s="10"/>
      <c r="GY337" s="10"/>
      <c r="GZ337" s="10"/>
      <c r="HA337" s="10"/>
      <c r="HB337" s="10"/>
      <c r="HC337" s="10"/>
      <c r="HD337" s="10"/>
      <c r="HE337" s="10"/>
      <c r="HF337" s="10"/>
      <c r="HG337" s="10"/>
      <c r="HH337" s="10"/>
      <c r="HI337" s="10"/>
      <c r="HJ337" s="10"/>
      <c r="HK337" s="10"/>
      <c r="HL337" s="10"/>
      <c r="HM337" s="10"/>
      <c r="HN337" s="10"/>
      <c r="HO337" s="10"/>
      <c r="HP337" s="10"/>
      <c r="HQ337" s="10"/>
      <c r="HR337" s="10"/>
      <c r="HS337" s="10"/>
      <c r="HT337" s="10"/>
      <c r="HU337" s="10"/>
      <c r="HV337" s="10"/>
      <c r="HW337" s="10"/>
      <c r="HX337" s="10"/>
      <c r="HY337" s="10"/>
      <c r="HZ337" s="10"/>
      <c r="IA337" s="10"/>
      <c r="IB337" s="10"/>
      <c r="IC337" s="10"/>
      <c r="ID337" s="10"/>
      <c r="IE337" s="10"/>
      <c r="IF337" s="10"/>
      <c r="IG337" s="10"/>
      <c r="IH337" s="10"/>
      <c r="II337" s="10"/>
      <c r="IJ337" s="10"/>
      <c r="IK337" s="10"/>
      <c r="IL337" s="10"/>
      <c r="IM337" s="10"/>
      <c r="IN337" s="10"/>
      <c r="IO337" s="10"/>
      <c r="IP337" s="10"/>
      <c r="IQ337" s="10"/>
      <c r="IR337" s="10"/>
      <c r="IS337" s="10"/>
      <c r="IT337" s="10"/>
      <c r="IU337" s="10"/>
      <c r="IV337" s="10"/>
      <c r="IW337" s="10"/>
      <c r="IX337" s="10"/>
      <c r="IY337" s="10"/>
      <c r="IZ337" s="10"/>
      <c r="JA337" s="10"/>
      <c r="JB337" s="10"/>
      <c r="JC337" s="10"/>
      <c r="JD337" s="10"/>
      <c r="JE337" s="10"/>
      <c r="JF337" s="10"/>
      <c r="JG337" s="10"/>
      <c r="JH337" s="10"/>
      <c r="JI337" s="10"/>
      <c r="JJ337" s="10"/>
      <c r="JK337" s="10"/>
      <c r="JL337" s="10"/>
      <c r="JM337" s="10"/>
      <c r="JN337" s="10"/>
      <c r="JO337" s="10"/>
      <c r="JP337" s="10"/>
      <c r="JQ337" s="10"/>
      <c r="JR337" s="10"/>
      <c r="JS337" s="10"/>
      <c r="JT337" s="10"/>
      <c r="JU337" s="10"/>
      <c r="JV337" s="10"/>
      <c r="JW337" s="10"/>
      <c r="JX337" s="10"/>
      <c r="JY337" s="10"/>
      <c r="JZ337" s="10"/>
      <c r="KA337" s="10"/>
      <c r="KB337" s="10"/>
      <c r="KC337" s="10"/>
      <c r="KD337" s="10"/>
      <c r="KE337" s="10"/>
      <c r="KF337" s="10"/>
      <c r="KG337" s="10"/>
      <c r="KH337" s="10"/>
      <c r="KI337" s="10"/>
      <c r="KJ337" s="10"/>
      <c r="KK337" s="10"/>
      <c r="KL337" s="10"/>
      <c r="KM337" s="10"/>
      <c r="KN337" s="10"/>
      <c r="KO337" s="10"/>
      <c r="KP337" s="10"/>
      <c r="KQ337" s="10"/>
      <c r="KR337" s="10"/>
      <c r="KS337" s="10"/>
      <c r="KT337" s="10"/>
      <c r="KU337" s="10"/>
      <c r="KV337" s="10"/>
      <c r="KW337" s="10"/>
      <c r="KX337" s="10"/>
      <c r="KY337" s="10"/>
      <c r="KZ337" s="10"/>
      <c r="LA337" s="10"/>
      <c r="LB337" s="10"/>
      <c r="LC337" s="10"/>
      <c r="LD337" s="10"/>
      <c r="LE337" s="10"/>
      <c r="LF337" s="10"/>
      <c r="LG337" s="10"/>
      <c r="LH337" s="10"/>
      <c r="LI337" s="10"/>
      <c r="LJ337" s="10">
        <f t="shared" ref="LJ337:LK337" si="60">LJ$338</f>
        <v>0</v>
      </c>
      <c r="LK337" s="10">
        <f t="shared" si="60"/>
        <v>0</v>
      </c>
      <c r="LL337" s="10">
        <f t="shared" si="59"/>
        <v>0</v>
      </c>
      <c r="LM337" s="10">
        <f t="shared" si="58"/>
        <v>0</v>
      </c>
      <c r="LN337" s="10">
        <f t="shared" si="58"/>
        <v>0</v>
      </c>
      <c r="LO337" s="10">
        <f t="shared" si="58"/>
        <v>0</v>
      </c>
      <c r="LP337" s="10">
        <f t="shared" si="58"/>
        <v>0</v>
      </c>
      <c r="LQ337" s="10">
        <f t="shared" si="58"/>
        <v>0</v>
      </c>
      <c r="LR337" s="10">
        <f t="shared" si="58"/>
        <v>0</v>
      </c>
      <c r="LS337" s="10">
        <f t="shared" si="58"/>
        <v>0</v>
      </c>
      <c r="LT337" s="10">
        <f t="shared" si="58"/>
        <v>0</v>
      </c>
      <c r="LU337" s="10">
        <f t="shared" si="58"/>
        <v>0</v>
      </c>
      <c r="LV337" s="10">
        <f t="shared" si="58"/>
        <v>0</v>
      </c>
      <c r="LW337" s="10">
        <f t="shared" si="58"/>
        <v>0</v>
      </c>
      <c r="LX337" s="10">
        <f t="shared" si="58"/>
        <v>0</v>
      </c>
      <c r="LY337" s="11">
        <f t="shared" si="58"/>
        <v>0</v>
      </c>
      <c r="LZ337" s="2">
        <v>0.52608618233618198</v>
      </c>
      <c r="MA337" s="1">
        <f t="shared" si="55"/>
        <v>0</v>
      </c>
      <c r="MB337" s="1">
        <v>0</v>
      </c>
      <c r="MC337" s="2">
        <v>0.52608617999999996</v>
      </c>
      <c r="MD337" s="1">
        <f t="shared" si="56"/>
        <v>0.52608617999999996</v>
      </c>
      <c r="ME337" s="1">
        <f t="shared" si="57"/>
        <v>0.52608617999999996</v>
      </c>
    </row>
    <row r="338" spans="1:343" x14ac:dyDescent="0.2">
      <c r="A338" s="2" t="s">
        <v>175</v>
      </c>
      <c r="B338">
        <v>0</v>
      </c>
      <c r="C338" s="2">
        <v>0</v>
      </c>
      <c r="D338" s="2">
        <v>0</v>
      </c>
      <c r="E338" s="2">
        <v>0</v>
      </c>
      <c r="F338" s="2">
        <v>0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1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2">
        <v>0</v>
      </c>
      <c r="AP338" s="2">
        <v>0</v>
      </c>
      <c r="AQ338" s="2">
        <v>0</v>
      </c>
      <c r="AR338" s="2">
        <v>0</v>
      </c>
      <c r="AS338" s="2">
        <v>0</v>
      </c>
      <c r="AT338" s="2">
        <v>0</v>
      </c>
      <c r="AU338" s="2">
        <v>0</v>
      </c>
      <c r="AV338" s="2">
        <v>0</v>
      </c>
      <c r="AW338" s="2">
        <v>0</v>
      </c>
      <c r="AX338" s="2">
        <v>0</v>
      </c>
      <c r="AY338" s="2">
        <v>0</v>
      </c>
      <c r="AZ338" s="2">
        <v>0</v>
      </c>
      <c r="BA338" s="2">
        <v>0</v>
      </c>
      <c r="BB338" s="2">
        <v>0</v>
      </c>
      <c r="BC338" s="2">
        <v>0</v>
      </c>
      <c r="BD338" s="2">
        <v>0</v>
      </c>
      <c r="BE338" s="2">
        <v>0</v>
      </c>
      <c r="BF338" s="2">
        <v>0</v>
      </c>
      <c r="BG338" s="2">
        <v>0</v>
      </c>
      <c r="BH338" s="2">
        <v>0</v>
      </c>
      <c r="BI338" s="2">
        <v>0</v>
      </c>
      <c r="BJ338" s="2">
        <v>0</v>
      </c>
      <c r="BK338" s="2">
        <v>0</v>
      </c>
      <c r="BL338" s="2">
        <v>0</v>
      </c>
      <c r="BM338" s="2">
        <v>0</v>
      </c>
      <c r="BN338" s="2">
        <v>0</v>
      </c>
      <c r="BO338" s="2">
        <v>0</v>
      </c>
      <c r="BP338" s="2">
        <v>0</v>
      </c>
      <c r="BQ338" s="2">
        <v>0</v>
      </c>
      <c r="BR338" s="2">
        <v>0</v>
      </c>
      <c r="BS338" s="2">
        <v>0</v>
      </c>
      <c r="BT338" s="2">
        <v>0</v>
      </c>
      <c r="BU338" s="2">
        <v>0</v>
      </c>
      <c r="BV338" s="2">
        <v>0</v>
      </c>
      <c r="BW338" s="2">
        <v>0</v>
      </c>
      <c r="BX338" s="2">
        <v>0</v>
      </c>
      <c r="BY338" s="2">
        <v>0</v>
      </c>
      <c r="BZ338" s="2">
        <v>0</v>
      </c>
      <c r="CA338" s="2">
        <v>0</v>
      </c>
      <c r="CB338" s="2">
        <v>0</v>
      </c>
      <c r="CC338" s="2">
        <v>0</v>
      </c>
      <c r="CD338" s="2">
        <v>1</v>
      </c>
      <c r="CE338" s="2">
        <v>0</v>
      </c>
      <c r="CF338" s="2">
        <v>0</v>
      </c>
      <c r="CG338" s="2">
        <v>0</v>
      </c>
      <c r="CH338" s="2">
        <v>0</v>
      </c>
      <c r="CI338" s="2">
        <v>0</v>
      </c>
      <c r="CJ338" s="2">
        <v>0</v>
      </c>
      <c r="CK338" s="2">
        <v>0</v>
      </c>
      <c r="CL338" s="2">
        <v>0</v>
      </c>
      <c r="CM338" s="2">
        <v>0</v>
      </c>
      <c r="CN338" s="2">
        <v>0</v>
      </c>
      <c r="CO338" s="2">
        <v>0</v>
      </c>
      <c r="CP338" s="2">
        <v>0</v>
      </c>
      <c r="CQ338" s="2">
        <v>0</v>
      </c>
      <c r="CR338" s="2">
        <v>0</v>
      </c>
      <c r="CS338" s="2">
        <v>0</v>
      </c>
      <c r="CT338" s="2">
        <v>0</v>
      </c>
      <c r="CU338" s="2">
        <v>0</v>
      </c>
      <c r="CV338" s="2">
        <v>0</v>
      </c>
      <c r="CW338" s="2">
        <v>0</v>
      </c>
      <c r="CX338" s="2">
        <v>0</v>
      </c>
      <c r="CY338" s="2">
        <v>0</v>
      </c>
      <c r="CZ338" s="2">
        <v>0</v>
      </c>
      <c r="DA338" s="2">
        <v>0</v>
      </c>
      <c r="DB338" s="2">
        <v>0</v>
      </c>
      <c r="DC338" s="2">
        <v>0</v>
      </c>
      <c r="DD338" s="2">
        <v>0</v>
      </c>
      <c r="DE338" s="2">
        <v>0</v>
      </c>
      <c r="DF338" s="2">
        <v>0</v>
      </c>
      <c r="DG338" s="2">
        <v>0</v>
      </c>
      <c r="DH338" s="2">
        <v>0</v>
      </c>
      <c r="DI338" s="2">
        <v>0</v>
      </c>
      <c r="DJ338" s="2">
        <v>0</v>
      </c>
      <c r="DK338" s="2">
        <v>0</v>
      </c>
      <c r="DL338" s="2">
        <v>0</v>
      </c>
      <c r="DM338" s="2">
        <v>0</v>
      </c>
      <c r="DN338" s="2">
        <v>0</v>
      </c>
      <c r="DO338" s="2">
        <v>0</v>
      </c>
      <c r="DP338" s="2">
        <v>0</v>
      </c>
      <c r="DQ338" s="2">
        <v>0</v>
      </c>
      <c r="DR338" s="2">
        <v>0</v>
      </c>
      <c r="DS338" s="2">
        <v>0</v>
      </c>
      <c r="DT338" s="2">
        <v>0</v>
      </c>
      <c r="DU338" s="2">
        <v>0</v>
      </c>
      <c r="DV338" s="2">
        <v>0</v>
      </c>
      <c r="DW338" s="2">
        <v>0</v>
      </c>
      <c r="DX338" s="2">
        <v>0</v>
      </c>
      <c r="DY338" s="2">
        <v>0</v>
      </c>
      <c r="DZ338" s="2">
        <v>0</v>
      </c>
      <c r="EA338" s="2">
        <v>0</v>
      </c>
      <c r="EB338" s="2">
        <v>1</v>
      </c>
      <c r="EC338" s="2">
        <v>0</v>
      </c>
      <c r="ED338" s="2">
        <v>0</v>
      </c>
      <c r="EE338" s="2">
        <v>0</v>
      </c>
      <c r="EF338" s="2">
        <v>0</v>
      </c>
      <c r="EG338" s="2">
        <v>0</v>
      </c>
      <c r="EH338" s="2">
        <v>0</v>
      </c>
      <c r="EI338" s="2">
        <v>0</v>
      </c>
      <c r="EJ338" s="2">
        <v>0</v>
      </c>
      <c r="EK338" s="2">
        <v>0</v>
      </c>
      <c r="EL338" s="2">
        <v>0</v>
      </c>
      <c r="EM338" s="2">
        <v>0</v>
      </c>
      <c r="EN338" s="2">
        <v>0</v>
      </c>
      <c r="EO338" s="2">
        <v>0</v>
      </c>
      <c r="EP338" s="2">
        <v>0</v>
      </c>
      <c r="EQ338" s="2">
        <v>0</v>
      </c>
      <c r="ER338" s="2">
        <v>0</v>
      </c>
      <c r="ES338" s="2">
        <v>0</v>
      </c>
      <c r="ET338" s="2">
        <v>0</v>
      </c>
      <c r="EU338" s="2">
        <v>0</v>
      </c>
      <c r="EV338" s="2">
        <v>0</v>
      </c>
      <c r="EW338" s="2">
        <v>0</v>
      </c>
      <c r="EX338" s="2">
        <v>0</v>
      </c>
      <c r="EY338" s="2">
        <v>0</v>
      </c>
      <c r="EZ338" s="2">
        <v>0</v>
      </c>
      <c r="FA338" s="2">
        <v>0</v>
      </c>
      <c r="FB338" s="2">
        <v>0</v>
      </c>
      <c r="FC338" s="2">
        <v>0</v>
      </c>
      <c r="FD338" s="2">
        <v>0</v>
      </c>
      <c r="FE338" s="2">
        <v>0</v>
      </c>
      <c r="FF338" s="2">
        <v>0</v>
      </c>
      <c r="FG338" s="2">
        <v>0</v>
      </c>
      <c r="FH338" s="2">
        <v>0</v>
      </c>
      <c r="FI338" s="2">
        <v>0</v>
      </c>
      <c r="FJ338" s="2">
        <v>0</v>
      </c>
      <c r="FK338" s="2">
        <v>0</v>
      </c>
      <c r="FL338" s="2">
        <v>0</v>
      </c>
      <c r="FM338" s="2">
        <v>0</v>
      </c>
      <c r="FN338" s="2">
        <v>0</v>
      </c>
      <c r="FO338" s="2">
        <v>0</v>
      </c>
      <c r="FP338" s="2">
        <v>0</v>
      </c>
      <c r="FQ338" s="2">
        <v>0</v>
      </c>
      <c r="FR338" s="2">
        <v>0</v>
      </c>
      <c r="FS338" s="2">
        <v>0</v>
      </c>
      <c r="FT338" s="2">
        <v>0</v>
      </c>
      <c r="FU338" s="2">
        <v>0</v>
      </c>
      <c r="FV338" s="2">
        <v>1</v>
      </c>
      <c r="FW338" s="2">
        <v>0</v>
      </c>
      <c r="FX338" s="2">
        <v>0</v>
      </c>
      <c r="FY338" s="2">
        <v>0</v>
      </c>
      <c r="FZ338" s="2">
        <v>0</v>
      </c>
      <c r="GA338" s="2">
        <v>0</v>
      </c>
      <c r="GB338" s="2">
        <v>0</v>
      </c>
      <c r="GC338" s="2">
        <v>0</v>
      </c>
      <c r="GD338" s="2">
        <v>0</v>
      </c>
      <c r="GE338" s="2">
        <v>0</v>
      </c>
      <c r="GF338" s="2">
        <v>0</v>
      </c>
      <c r="GG338" s="2">
        <v>0</v>
      </c>
      <c r="GH338" s="2">
        <v>0</v>
      </c>
      <c r="GI338" s="2">
        <v>0</v>
      </c>
      <c r="GJ338" s="2">
        <v>0</v>
      </c>
      <c r="GK338" s="2">
        <v>0</v>
      </c>
      <c r="GL338" s="2">
        <v>0</v>
      </c>
      <c r="GM338" s="2">
        <v>0</v>
      </c>
      <c r="GN338" s="2">
        <v>0</v>
      </c>
      <c r="GO338" s="2">
        <v>0</v>
      </c>
      <c r="GP338" s="2">
        <v>0</v>
      </c>
      <c r="GQ338" s="2">
        <v>0</v>
      </c>
      <c r="GR338" s="2">
        <v>0</v>
      </c>
      <c r="GS338" s="2">
        <v>0</v>
      </c>
      <c r="GT338" s="2">
        <v>0</v>
      </c>
      <c r="GU338" s="2">
        <v>0</v>
      </c>
      <c r="GV338" s="2">
        <v>0</v>
      </c>
      <c r="GW338" s="2">
        <v>0</v>
      </c>
      <c r="GX338" s="2">
        <v>0</v>
      </c>
      <c r="GY338" s="2">
        <v>0</v>
      </c>
      <c r="GZ338" s="2">
        <v>0</v>
      </c>
      <c r="HA338" s="2">
        <v>0</v>
      </c>
      <c r="HB338" s="2">
        <v>0</v>
      </c>
      <c r="HC338" s="2">
        <v>0</v>
      </c>
      <c r="HD338" s="2">
        <v>0</v>
      </c>
      <c r="HE338" s="2">
        <v>0</v>
      </c>
      <c r="HF338" s="2">
        <v>0</v>
      </c>
      <c r="HG338" s="2">
        <v>0</v>
      </c>
      <c r="HH338" s="2">
        <v>0</v>
      </c>
      <c r="HI338" s="2">
        <v>0</v>
      </c>
      <c r="HJ338" s="2">
        <v>0</v>
      </c>
      <c r="HK338" s="2">
        <v>0</v>
      </c>
      <c r="HL338" s="2">
        <v>0</v>
      </c>
      <c r="HM338" s="2">
        <v>0</v>
      </c>
      <c r="HN338" s="2">
        <v>0</v>
      </c>
      <c r="HO338" s="2">
        <v>0</v>
      </c>
      <c r="HP338" s="2">
        <v>0</v>
      </c>
      <c r="HQ338" s="2">
        <v>0</v>
      </c>
      <c r="HR338" s="2">
        <v>0</v>
      </c>
      <c r="HS338" s="2">
        <v>0</v>
      </c>
      <c r="HT338" s="2">
        <v>1</v>
      </c>
      <c r="HU338" s="2">
        <v>0</v>
      </c>
      <c r="HV338" s="2">
        <v>0</v>
      </c>
      <c r="HW338" s="2">
        <v>0</v>
      </c>
      <c r="HX338" s="2">
        <v>0</v>
      </c>
      <c r="HY338" s="2">
        <v>0</v>
      </c>
      <c r="HZ338" s="2">
        <v>0</v>
      </c>
      <c r="IA338" s="2">
        <v>0</v>
      </c>
      <c r="IB338" s="2">
        <v>0</v>
      </c>
      <c r="IC338" s="2">
        <v>0</v>
      </c>
      <c r="ID338" s="2">
        <v>0</v>
      </c>
      <c r="IE338" s="2">
        <v>0</v>
      </c>
      <c r="IF338" s="2">
        <v>0</v>
      </c>
      <c r="IG338" s="2">
        <v>0</v>
      </c>
      <c r="IH338" s="2">
        <v>0</v>
      </c>
      <c r="II338" s="2">
        <v>0</v>
      </c>
      <c r="IJ338" s="2">
        <v>0</v>
      </c>
      <c r="IK338" s="2">
        <v>0</v>
      </c>
      <c r="IL338" s="2">
        <v>0</v>
      </c>
      <c r="IM338" s="2">
        <v>0</v>
      </c>
      <c r="IN338" s="2">
        <v>0</v>
      </c>
      <c r="IO338" s="2">
        <v>0</v>
      </c>
      <c r="IP338" s="2">
        <v>0</v>
      </c>
      <c r="IQ338" s="2">
        <v>0</v>
      </c>
      <c r="IR338" s="2">
        <v>0</v>
      </c>
      <c r="IS338" s="2">
        <v>0</v>
      </c>
      <c r="IT338" s="2">
        <v>0</v>
      </c>
      <c r="IU338" s="2">
        <v>0</v>
      </c>
      <c r="IV338" s="2">
        <v>0</v>
      </c>
      <c r="IW338" s="2">
        <v>0</v>
      </c>
      <c r="IX338" s="2">
        <v>0</v>
      </c>
      <c r="IY338" s="2">
        <v>0</v>
      </c>
      <c r="IZ338" s="2">
        <v>0</v>
      </c>
      <c r="JA338" s="2">
        <v>0</v>
      </c>
      <c r="JB338" s="2">
        <v>0</v>
      </c>
      <c r="JC338" s="2">
        <v>0</v>
      </c>
      <c r="JD338" s="2">
        <v>0</v>
      </c>
      <c r="JE338" s="2">
        <v>0</v>
      </c>
      <c r="JF338" s="2">
        <v>0</v>
      </c>
      <c r="JG338" s="2">
        <v>0</v>
      </c>
      <c r="JH338" s="2">
        <v>0</v>
      </c>
      <c r="JI338" s="2">
        <v>0</v>
      </c>
      <c r="JJ338" s="2">
        <v>0</v>
      </c>
      <c r="JK338" s="2">
        <v>0</v>
      </c>
      <c r="JL338" s="2">
        <v>0</v>
      </c>
      <c r="JM338" s="2">
        <v>0</v>
      </c>
      <c r="JN338" s="2">
        <v>1</v>
      </c>
      <c r="JO338" s="2">
        <v>0</v>
      </c>
      <c r="JP338" s="2">
        <v>0</v>
      </c>
      <c r="JQ338" s="2">
        <v>0</v>
      </c>
      <c r="JR338" s="2">
        <v>0</v>
      </c>
      <c r="JS338" s="2">
        <v>0</v>
      </c>
      <c r="JT338" s="2">
        <v>0</v>
      </c>
      <c r="JU338" s="2">
        <v>0</v>
      </c>
      <c r="JV338" s="2">
        <v>0</v>
      </c>
      <c r="JW338" s="2">
        <v>0</v>
      </c>
      <c r="JX338" s="2">
        <v>0</v>
      </c>
      <c r="JY338" s="2">
        <v>0</v>
      </c>
      <c r="JZ338" s="2">
        <v>0</v>
      </c>
      <c r="KA338" s="2">
        <v>0</v>
      </c>
      <c r="KB338" s="2">
        <v>0</v>
      </c>
      <c r="KC338" s="2">
        <v>0</v>
      </c>
      <c r="KD338" s="2">
        <v>0</v>
      </c>
      <c r="KE338" s="2">
        <v>0</v>
      </c>
      <c r="KF338" s="2">
        <v>0</v>
      </c>
      <c r="KG338" s="2">
        <v>0</v>
      </c>
      <c r="KH338" s="2">
        <v>0</v>
      </c>
      <c r="KI338" s="2">
        <v>0</v>
      </c>
      <c r="KJ338" s="2">
        <v>0</v>
      </c>
      <c r="KK338" s="2">
        <v>0</v>
      </c>
      <c r="KL338" s="2">
        <v>0</v>
      </c>
      <c r="KM338" s="2">
        <v>0</v>
      </c>
      <c r="KN338" s="2">
        <v>0</v>
      </c>
      <c r="KO338" s="2">
        <v>0</v>
      </c>
      <c r="KP338" s="2">
        <v>0</v>
      </c>
      <c r="KQ338" s="2">
        <v>0</v>
      </c>
      <c r="KR338" s="2">
        <v>0</v>
      </c>
      <c r="KS338" s="2">
        <v>0</v>
      </c>
      <c r="KT338" s="2">
        <v>0</v>
      </c>
      <c r="KU338" s="2">
        <v>0</v>
      </c>
      <c r="KV338" s="2">
        <v>0</v>
      </c>
      <c r="KW338" s="2">
        <v>0</v>
      </c>
      <c r="KX338" s="2">
        <v>0</v>
      </c>
      <c r="KY338" s="2">
        <v>0</v>
      </c>
      <c r="KZ338" s="2">
        <v>0</v>
      </c>
      <c r="LA338" s="2">
        <v>0</v>
      </c>
      <c r="LB338" s="2">
        <v>0</v>
      </c>
      <c r="LC338" s="2">
        <v>0</v>
      </c>
      <c r="LD338" s="2">
        <v>0</v>
      </c>
      <c r="LE338" s="2">
        <v>0</v>
      </c>
      <c r="LF338" s="2">
        <v>0</v>
      </c>
      <c r="LG338" s="2">
        <v>0</v>
      </c>
      <c r="LH338" s="2">
        <v>1</v>
      </c>
      <c r="LI338" s="2">
        <v>0</v>
      </c>
      <c r="LJ338" s="2">
        <v>0</v>
      </c>
      <c r="LK338" s="2">
        <v>0</v>
      </c>
      <c r="LL338" s="2">
        <v>0</v>
      </c>
      <c r="LM338" s="2">
        <v>0</v>
      </c>
      <c r="LN338" s="2">
        <v>0</v>
      </c>
      <c r="LO338" s="2">
        <v>0</v>
      </c>
      <c r="LP338" s="2">
        <v>0</v>
      </c>
      <c r="LQ338" s="2">
        <v>0</v>
      </c>
      <c r="LR338" s="2">
        <v>0</v>
      </c>
      <c r="LS338" s="2">
        <v>0</v>
      </c>
      <c r="LT338" s="2">
        <v>0</v>
      </c>
      <c r="LU338" s="2">
        <v>0</v>
      </c>
      <c r="LV338" s="2">
        <v>0</v>
      </c>
      <c r="LW338" s="2">
        <v>0</v>
      </c>
      <c r="LX338" s="2">
        <v>0</v>
      </c>
      <c r="LY338" s="2">
        <v>0</v>
      </c>
      <c r="MA338" s="1"/>
      <c r="MB338" s="1"/>
      <c r="MC338" s="2"/>
      <c r="MD338" s="1"/>
      <c r="ME338" s="1"/>
    </row>
    <row r="339" spans="1:343" x14ac:dyDescent="0.2">
      <c r="A339" s="14" t="s">
        <v>356</v>
      </c>
      <c r="B339" s="28">
        <v>0</v>
      </c>
      <c r="C339" s="28">
        <v>2.0833333333333332E-2</v>
      </c>
      <c r="D339" s="28">
        <v>4.1666666666666699E-2</v>
      </c>
      <c r="E339" s="28">
        <v>6.25E-2</v>
      </c>
      <c r="F339" s="28">
        <v>8.3333333333333301E-2</v>
      </c>
      <c r="G339" s="28">
        <v>0.104166666666667</v>
      </c>
      <c r="H339" s="28">
        <v>0.125</v>
      </c>
      <c r="I339" s="28">
        <v>0.14583333333333301</v>
      </c>
      <c r="J339" s="28">
        <v>0.16666666666666699</v>
      </c>
      <c r="K339" s="28">
        <v>0.1875</v>
      </c>
      <c r="L339" s="28">
        <v>0.20833333333333301</v>
      </c>
      <c r="M339" s="28">
        <v>0.22916666666666699</v>
      </c>
      <c r="N339" s="28">
        <v>0.25</v>
      </c>
      <c r="O339" s="28">
        <v>0.27083333333333298</v>
      </c>
      <c r="P339" s="28">
        <v>0.29166666666666702</v>
      </c>
      <c r="Q339" s="28">
        <v>0.3125</v>
      </c>
      <c r="R339" s="28">
        <v>0.33333333333333298</v>
      </c>
      <c r="S339" s="28">
        <v>0.35416666666666702</v>
      </c>
      <c r="T339" s="28">
        <v>0.375</v>
      </c>
      <c r="U339" s="28">
        <v>0.39583333333333298</v>
      </c>
      <c r="V339" s="28">
        <v>0.41666666666666702</v>
      </c>
      <c r="W339" s="28">
        <v>0.4375</v>
      </c>
      <c r="X339" s="28">
        <v>0.45833333333333298</v>
      </c>
      <c r="Y339" s="28">
        <v>0.47916666666666702</v>
      </c>
      <c r="Z339" s="28">
        <v>0.5</v>
      </c>
      <c r="AA339" s="28">
        <v>0.52083333333333304</v>
      </c>
      <c r="AB339" s="28">
        <v>0.54166666666666696</v>
      </c>
      <c r="AC339" s="28">
        <v>0.5625</v>
      </c>
      <c r="AD339" s="28">
        <v>0.58333333333333304</v>
      </c>
      <c r="AE339" s="28">
        <v>0.60416666666666696</v>
      </c>
      <c r="AF339" s="28">
        <v>0.625</v>
      </c>
      <c r="AG339" s="28">
        <v>0.64583333333333304</v>
      </c>
      <c r="AH339" s="28">
        <v>0.66666666666666696</v>
      </c>
      <c r="AI339" s="28">
        <v>0.6875</v>
      </c>
      <c r="AJ339" s="28">
        <v>0.70833333333333304</v>
      </c>
      <c r="AK339" s="28">
        <v>0.72916666666666696</v>
      </c>
      <c r="AL339" s="28">
        <v>0.75</v>
      </c>
      <c r="AM339" s="28">
        <v>0.77083333333333304</v>
      </c>
      <c r="AN339" s="28">
        <v>0.79166666666666696</v>
      </c>
      <c r="AO339" s="28">
        <v>0.8125</v>
      </c>
      <c r="AP339" s="28">
        <v>0.83333333333333304</v>
      </c>
      <c r="AQ339" s="28">
        <v>0.85416666666666696</v>
      </c>
      <c r="AR339" s="28">
        <v>0.875</v>
      </c>
      <c r="AS339" s="28">
        <v>0.89583333333333304</v>
      </c>
      <c r="AT339" s="28">
        <v>0.91666666666666696</v>
      </c>
      <c r="AU339" s="28">
        <v>0.9375</v>
      </c>
      <c r="AV339" s="28">
        <v>0.95833333333333304</v>
      </c>
      <c r="AW339" s="28">
        <v>0.97916666666666696</v>
      </c>
      <c r="AX339" s="28">
        <v>0</v>
      </c>
      <c r="AY339" s="28">
        <v>2.0833333333333332E-2</v>
      </c>
      <c r="AZ339" s="28">
        <v>4.1666666666666699E-2</v>
      </c>
      <c r="BA339" s="28">
        <v>6.25E-2</v>
      </c>
      <c r="BB339" s="28">
        <v>8.3333333333333301E-2</v>
      </c>
      <c r="BC339" s="28">
        <v>0.104166666666667</v>
      </c>
      <c r="BD339" s="28">
        <v>0.125</v>
      </c>
      <c r="BE339" s="28">
        <v>0.14583333333333301</v>
      </c>
      <c r="BF339" s="28">
        <v>0.16666666666666699</v>
      </c>
      <c r="BG339" s="28">
        <v>0.1875</v>
      </c>
      <c r="BH339" s="28">
        <v>0.20833333333333301</v>
      </c>
      <c r="BI339" s="28">
        <v>0.22916666666666699</v>
      </c>
      <c r="BJ339" s="28">
        <v>0.25</v>
      </c>
      <c r="BK339" s="28">
        <v>0.27083333333333298</v>
      </c>
      <c r="BL339" s="28">
        <v>0.29166666666666702</v>
      </c>
      <c r="BM339" s="28">
        <v>0.3125</v>
      </c>
      <c r="BN339" s="28">
        <v>0.33333333333333298</v>
      </c>
      <c r="BO339" s="28">
        <v>0.35416666666666702</v>
      </c>
      <c r="BP339" s="28">
        <v>0.375</v>
      </c>
      <c r="BQ339" s="28">
        <v>0.39583333333333298</v>
      </c>
      <c r="BR339" s="28">
        <v>0.41666666666666702</v>
      </c>
      <c r="BS339" s="28">
        <v>0.4375</v>
      </c>
      <c r="BT339" s="28">
        <v>0.45833333333333298</v>
      </c>
      <c r="BU339" s="28">
        <v>0.47916666666666702</v>
      </c>
      <c r="BV339" s="28">
        <v>0.5</v>
      </c>
      <c r="BW339" s="28">
        <v>0.52083333333333304</v>
      </c>
      <c r="BX339" s="28">
        <v>0.54166666666666696</v>
      </c>
      <c r="BY339" s="28">
        <v>0.5625</v>
      </c>
      <c r="BZ339" s="28">
        <v>0.58333333333333304</v>
      </c>
      <c r="CA339" s="28">
        <v>0.60416666666666696</v>
      </c>
      <c r="CB339" s="28">
        <v>0.625</v>
      </c>
      <c r="CC339" s="28">
        <v>0.64583333333333304</v>
      </c>
      <c r="CD339" s="28">
        <v>0.66666666666666696</v>
      </c>
      <c r="CE339" s="28">
        <v>0.6875</v>
      </c>
      <c r="CF339" s="28">
        <v>0.70833333333333304</v>
      </c>
      <c r="CG339" s="28">
        <v>0.72916666666666696</v>
      </c>
      <c r="CH339" s="28">
        <v>0.75</v>
      </c>
      <c r="CI339" s="28">
        <v>0.77083333333333304</v>
      </c>
      <c r="CJ339" s="28">
        <v>0.79166666666666696</v>
      </c>
      <c r="CK339" s="28">
        <v>0.8125</v>
      </c>
      <c r="CL339" s="28">
        <v>0.83333333333333304</v>
      </c>
      <c r="CM339" s="28">
        <v>0.85416666666666696</v>
      </c>
      <c r="CN339" s="28">
        <v>0.875</v>
      </c>
      <c r="CO339" s="28">
        <v>0.89583333333333304</v>
      </c>
      <c r="CP339" s="28">
        <v>0.91666666666666696</v>
      </c>
      <c r="CQ339" s="28">
        <v>0.9375</v>
      </c>
      <c r="CR339" s="28">
        <v>0.95833333333333304</v>
      </c>
      <c r="CS339" s="28">
        <v>0.97916666666666696</v>
      </c>
      <c r="CT339" s="28">
        <v>0</v>
      </c>
      <c r="CU339" s="28">
        <v>2.0833333333333332E-2</v>
      </c>
      <c r="CV339" s="28">
        <v>4.1666666666666699E-2</v>
      </c>
      <c r="CW339" s="28">
        <v>6.25E-2</v>
      </c>
      <c r="CX339" s="28">
        <v>8.3333333333333301E-2</v>
      </c>
      <c r="CY339" s="28">
        <v>0.104166666666667</v>
      </c>
      <c r="CZ339" s="28">
        <v>0.125</v>
      </c>
      <c r="DA339" s="28">
        <v>0.14583333333333301</v>
      </c>
      <c r="DB339" s="28">
        <v>0.16666666666666699</v>
      </c>
      <c r="DC339" s="28">
        <v>0.1875</v>
      </c>
      <c r="DD339" s="28">
        <v>0.20833333333333301</v>
      </c>
      <c r="DE339" s="28">
        <v>0.22916666666666699</v>
      </c>
      <c r="DF339" s="28">
        <v>0.25</v>
      </c>
      <c r="DG339" s="28">
        <v>0.27083333333333298</v>
      </c>
      <c r="DH339" s="28">
        <v>0.29166666666666702</v>
      </c>
      <c r="DI339" s="28">
        <v>0.3125</v>
      </c>
      <c r="DJ339" s="28">
        <v>0.33333333333333298</v>
      </c>
      <c r="DK339" s="28">
        <v>0.35416666666666702</v>
      </c>
      <c r="DL339" s="28">
        <v>0.375</v>
      </c>
      <c r="DM339" s="28">
        <v>0.39583333333333298</v>
      </c>
      <c r="DN339" s="28">
        <v>0.41666666666666702</v>
      </c>
      <c r="DO339" s="28">
        <v>0.4375</v>
      </c>
      <c r="DP339" s="28">
        <v>0.45833333333333298</v>
      </c>
      <c r="DQ339" s="28">
        <v>0.47916666666666702</v>
      </c>
      <c r="DR339" s="28">
        <v>0.5</v>
      </c>
      <c r="DS339" s="28">
        <v>0.52083333333333304</v>
      </c>
      <c r="DT339" s="28">
        <v>0.54166666666666696</v>
      </c>
      <c r="DU339" s="28">
        <v>0.5625</v>
      </c>
      <c r="DV339" s="28">
        <v>0.58333333333333304</v>
      </c>
      <c r="DW339" s="28">
        <v>0.60416666666666696</v>
      </c>
      <c r="DX339" s="28">
        <v>0.625</v>
      </c>
      <c r="DY339" s="28">
        <v>0.64583333333333304</v>
      </c>
      <c r="DZ339" s="28">
        <v>0.66666666666666696</v>
      </c>
      <c r="EA339" s="28">
        <v>0.6875</v>
      </c>
      <c r="EB339" s="28">
        <v>0.70833333333333304</v>
      </c>
      <c r="EC339" s="28">
        <v>0.72916666666666696</v>
      </c>
      <c r="ED339" s="28">
        <v>0.75</v>
      </c>
      <c r="EE339" s="28">
        <v>0.77083333333333304</v>
      </c>
      <c r="EF339" s="28">
        <v>0.79166666666666696</v>
      </c>
      <c r="EG339" s="28">
        <v>0.8125</v>
      </c>
      <c r="EH339" s="28">
        <v>0.83333333333333304</v>
      </c>
      <c r="EI339" s="28">
        <v>0.85416666666666696</v>
      </c>
      <c r="EJ339" s="28">
        <v>0.875</v>
      </c>
      <c r="EK339" s="28">
        <v>0.89583333333333304</v>
      </c>
      <c r="EL339" s="28">
        <v>0.91666666666666696</v>
      </c>
      <c r="EM339" s="28">
        <v>0.9375</v>
      </c>
      <c r="EN339" s="28">
        <v>0.95833333333333304</v>
      </c>
      <c r="EO339" s="28">
        <v>0.97916666666666696</v>
      </c>
      <c r="EP339" s="28">
        <v>0</v>
      </c>
      <c r="EQ339" s="28">
        <v>2.0833333333333332E-2</v>
      </c>
      <c r="ER339" s="28">
        <v>4.1666666666666699E-2</v>
      </c>
      <c r="ES339" s="28">
        <v>6.25E-2</v>
      </c>
      <c r="ET339" s="28">
        <v>8.3333333333333301E-2</v>
      </c>
      <c r="EU339" s="28">
        <v>0.104166666666667</v>
      </c>
      <c r="EV339" s="28">
        <v>0.125</v>
      </c>
      <c r="EW339" s="28">
        <v>0.14583333333333301</v>
      </c>
      <c r="EX339" s="28">
        <v>0.16666666666666699</v>
      </c>
      <c r="EY339" s="28">
        <v>0.1875</v>
      </c>
      <c r="EZ339" s="28">
        <v>0.20833333333333301</v>
      </c>
      <c r="FA339" s="28">
        <v>0.22916666666666699</v>
      </c>
      <c r="FB339" s="28">
        <v>0.25</v>
      </c>
      <c r="FC339" s="28">
        <v>0.27083333333333298</v>
      </c>
      <c r="FD339" s="28">
        <v>0.29166666666666702</v>
      </c>
      <c r="FE339" s="28">
        <v>0.3125</v>
      </c>
      <c r="FF339" s="28">
        <v>0.33333333333333298</v>
      </c>
      <c r="FG339" s="28">
        <v>0.35416666666666702</v>
      </c>
      <c r="FH339" s="28">
        <v>0.375</v>
      </c>
      <c r="FI339" s="28">
        <v>0.39583333333333298</v>
      </c>
      <c r="FJ339" s="28">
        <v>0.41666666666666702</v>
      </c>
      <c r="FK339" s="28">
        <v>0.4375</v>
      </c>
      <c r="FL339" s="28">
        <v>0.45833333333333298</v>
      </c>
      <c r="FM339" s="28">
        <v>0.47916666666666702</v>
      </c>
      <c r="FN339" s="28">
        <v>0.5</v>
      </c>
      <c r="FO339" s="28">
        <v>0.52083333333333304</v>
      </c>
      <c r="FP339" s="28">
        <v>0.54166666666666696</v>
      </c>
      <c r="FQ339" s="28">
        <v>0.5625</v>
      </c>
      <c r="FR339" s="28">
        <v>0.58333333333333304</v>
      </c>
      <c r="FS339" s="28">
        <v>0.60416666666666696</v>
      </c>
      <c r="FT339" s="28">
        <v>0.625</v>
      </c>
      <c r="FU339" s="28">
        <v>0.64583333333333304</v>
      </c>
      <c r="FV339" s="28">
        <v>0.66666666666666696</v>
      </c>
      <c r="FW339" s="28">
        <v>0.6875</v>
      </c>
      <c r="FX339" s="28">
        <v>0.70833333333333304</v>
      </c>
      <c r="FY339" s="28">
        <v>0.72916666666666696</v>
      </c>
      <c r="FZ339" s="28">
        <v>0.75</v>
      </c>
      <c r="GA339" s="28">
        <v>0.77083333333333304</v>
      </c>
      <c r="GB339" s="28">
        <v>0.79166666666666696</v>
      </c>
      <c r="GC339" s="28">
        <v>0.8125</v>
      </c>
      <c r="GD339" s="28">
        <v>0.83333333333333304</v>
      </c>
      <c r="GE339" s="28">
        <v>0.85416666666666696</v>
      </c>
      <c r="GF339" s="28">
        <v>0.875</v>
      </c>
      <c r="GG339" s="28">
        <v>0.89583333333333304</v>
      </c>
      <c r="GH339" s="28">
        <v>0.91666666666666696</v>
      </c>
      <c r="GI339" s="28">
        <v>0.9375</v>
      </c>
      <c r="GJ339" s="28">
        <v>0.95833333333333304</v>
      </c>
      <c r="GK339" s="28">
        <v>0.97916666666666696</v>
      </c>
      <c r="GL339" s="28">
        <v>0</v>
      </c>
      <c r="GM339" s="28">
        <v>2.0833333333333332E-2</v>
      </c>
      <c r="GN339" s="28">
        <v>4.1666666666666699E-2</v>
      </c>
      <c r="GO339" s="28">
        <v>6.25E-2</v>
      </c>
      <c r="GP339" s="28">
        <v>8.3333333333333301E-2</v>
      </c>
      <c r="GQ339" s="28">
        <v>0.104166666666667</v>
      </c>
      <c r="GR339" s="28">
        <v>0.125</v>
      </c>
      <c r="GS339" s="28">
        <v>0.14583333333333301</v>
      </c>
      <c r="GT339" s="28">
        <v>0.16666666666666699</v>
      </c>
      <c r="GU339" s="28">
        <v>0.1875</v>
      </c>
      <c r="GV339" s="28">
        <v>0.20833333333333301</v>
      </c>
      <c r="GW339" s="28">
        <v>0.22916666666666699</v>
      </c>
      <c r="GX339" s="28">
        <v>0.25</v>
      </c>
      <c r="GY339" s="28">
        <v>0.27083333333333298</v>
      </c>
      <c r="GZ339" s="28">
        <v>0.29166666666666702</v>
      </c>
      <c r="HA339" s="28">
        <v>0.3125</v>
      </c>
      <c r="HB339" s="28">
        <v>0.33333333333333298</v>
      </c>
      <c r="HC339" s="28">
        <v>0.35416666666666702</v>
      </c>
      <c r="HD339" s="28">
        <v>0.375</v>
      </c>
      <c r="HE339" s="28">
        <v>0.39583333333333298</v>
      </c>
      <c r="HF339" s="28">
        <v>0.41666666666666702</v>
      </c>
      <c r="HG339" s="28">
        <v>0.4375</v>
      </c>
      <c r="HH339" s="28">
        <v>0.45833333333333298</v>
      </c>
      <c r="HI339" s="28">
        <v>0.47916666666666702</v>
      </c>
      <c r="HJ339" s="28">
        <v>0.5</v>
      </c>
      <c r="HK339" s="28">
        <v>0.52083333333333304</v>
      </c>
      <c r="HL339" s="28">
        <v>0.54166666666666696</v>
      </c>
      <c r="HM339" s="28">
        <v>0.5625</v>
      </c>
      <c r="HN339" s="28">
        <v>0.58333333333333304</v>
      </c>
      <c r="HO339" s="28">
        <v>0.60416666666666696</v>
      </c>
      <c r="HP339" s="28">
        <v>0.625</v>
      </c>
      <c r="HQ339" s="28">
        <v>0.64583333333333304</v>
      </c>
      <c r="HR339" s="28">
        <v>0.66666666666666696</v>
      </c>
      <c r="HS339" s="28">
        <v>0.6875</v>
      </c>
      <c r="HT339" s="28">
        <v>0.70833333333333304</v>
      </c>
      <c r="HU339" s="28">
        <v>0.72916666666666696</v>
      </c>
      <c r="HV339" s="28">
        <v>0.75</v>
      </c>
      <c r="HW339" s="28">
        <v>0.77083333333333304</v>
      </c>
      <c r="HX339" s="28">
        <v>0.79166666666666696</v>
      </c>
      <c r="HY339" s="28">
        <v>0.8125</v>
      </c>
      <c r="HZ339" s="28">
        <v>0.83333333333333304</v>
      </c>
      <c r="IA339" s="28">
        <v>0.85416666666666696</v>
      </c>
      <c r="IB339" s="28">
        <v>0.875</v>
      </c>
      <c r="IC339" s="28">
        <v>0.89583333333333304</v>
      </c>
      <c r="ID339" s="28">
        <v>0.91666666666666696</v>
      </c>
      <c r="IE339" s="28">
        <v>0.9375</v>
      </c>
      <c r="IF339" s="28">
        <v>0.95833333333333304</v>
      </c>
      <c r="IG339" s="28">
        <v>0.97916666666666696</v>
      </c>
      <c r="IH339" s="28">
        <v>0</v>
      </c>
      <c r="II339" s="28">
        <v>2.0833333333333332E-2</v>
      </c>
      <c r="IJ339" s="28">
        <v>4.1666666666666699E-2</v>
      </c>
      <c r="IK339" s="28">
        <v>6.25E-2</v>
      </c>
      <c r="IL339" s="28">
        <v>8.3333333333333301E-2</v>
      </c>
      <c r="IM339" s="28">
        <v>0.104166666666667</v>
      </c>
      <c r="IN339" s="28">
        <v>0.125</v>
      </c>
      <c r="IO339" s="28">
        <v>0.14583333333333301</v>
      </c>
      <c r="IP339" s="28">
        <v>0.16666666666666699</v>
      </c>
      <c r="IQ339" s="28">
        <v>0.1875</v>
      </c>
      <c r="IR339" s="28">
        <v>0.20833333333333301</v>
      </c>
      <c r="IS339" s="28">
        <v>0.22916666666666699</v>
      </c>
      <c r="IT339" s="28">
        <v>0.25</v>
      </c>
      <c r="IU339" s="28">
        <v>0.27083333333333298</v>
      </c>
      <c r="IV339" s="28">
        <v>0.29166666666666702</v>
      </c>
      <c r="IW339" s="28">
        <v>0.3125</v>
      </c>
      <c r="IX339" s="28">
        <v>0.33333333333333298</v>
      </c>
      <c r="IY339" s="28">
        <v>0.35416666666666702</v>
      </c>
      <c r="IZ339" s="28">
        <v>0.375</v>
      </c>
      <c r="JA339" s="28">
        <v>0.39583333333333298</v>
      </c>
      <c r="JB339" s="28">
        <v>0.41666666666666702</v>
      </c>
      <c r="JC339" s="28">
        <v>0.4375</v>
      </c>
      <c r="JD339" s="28">
        <v>0.45833333333333298</v>
      </c>
      <c r="JE339" s="28">
        <v>0.47916666666666702</v>
      </c>
      <c r="JF339" s="28">
        <v>0.5</v>
      </c>
      <c r="JG339" s="28">
        <v>0.52083333333333304</v>
      </c>
      <c r="JH339" s="28">
        <v>0.54166666666666696</v>
      </c>
      <c r="JI339" s="28">
        <v>0.5625</v>
      </c>
      <c r="JJ339" s="28">
        <v>0.58333333333333304</v>
      </c>
      <c r="JK339" s="28">
        <v>0.60416666666666696</v>
      </c>
      <c r="JL339" s="28">
        <v>0.625</v>
      </c>
      <c r="JM339" s="28">
        <v>0.64583333333333304</v>
      </c>
      <c r="JN339" s="28">
        <v>0.66666666666666696</v>
      </c>
      <c r="JO339" s="28">
        <v>0.6875</v>
      </c>
      <c r="JP339" s="28">
        <v>0.70833333333333304</v>
      </c>
      <c r="JQ339" s="28">
        <v>0.72916666666666696</v>
      </c>
      <c r="JR339" s="28">
        <v>0.75</v>
      </c>
      <c r="JS339" s="28">
        <v>0.77083333333333304</v>
      </c>
      <c r="JT339" s="28">
        <v>0.79166666666666696</v>
      </c>
      <c r="JU339" s="28">
        <v>0.8125</v>
      </c>
      <c r="JV339" s="28">
        <v>0.83333333333333304</v>
      </c>
      <c r="JW339" s="28">
        <v>0.85416666666666696</v>
      </c>
      <c r="JX339" s="28">
        <v>0.875</v>
      </c>
      <c r="JY339" s="28">
        <v>0.89583333333333304</v>
      </c>
      <c r="JZ339" s="28">
        <v>0.91666666666666696</v>
      </c>
      <c r="KA339" s="28">
        <v>0.9375</v>
      </c>
      <c r="KB339" s="28">
        <v>0.95833333333333304</v>
      </c>
      <c r="KC339" s="28">
        <v>0.97916666666666696</v>
      </c>
      <c r="KD339" s="28">
        <v>0</v>
      </c>
      <c r="KE339" s="28">
        <v>2.0833333333333332E-2</v>
      </c>
      <c r="KF339" s="28">
        <v>4.1666666666666699E-2</v>
      </c>
      <c r="KG339" s="28">
        <v>6.25E-2</v>
      </c>
      <c r="KH339" s="28">
        <v>8.3333333333333301E-2</v>
      </c>
      <c r="KI339" s="28">
        <v>0.104166666666667</v>
      </c>
      <c r="KJ339" s="28">
        <v>0.125</v>
      </c>
      <c r="KK339" s="28">
        <v>0.14583333333333301</v>
      </c>
      <c r="KL339" s="28">
        <v>0.16666666666666699</v>
      </c>
      <c r="KM339" s="28">
        <v>0.1875</v>
      </c>
      <c r="KN339" s="28">
        <v>0.20833333333333301</v>
      </c>
      <c r="KO339" s="28">
        <v>0.22916666666666699</v>
      </c>
      <c r="KP339" s="28">
        <v>0.25</v>
      </c>
      <c r="KQ339" s="28">
        <v>0.27083333333333298</v>
      </c>
      <c r="KR339" s="28">
        <v>0.29166666666666702</v>
      </c>
      <c r="KS339" s="28">
        <v>0.3125</v>
      </c>
      <c r="KT339" s="28">
        <v>0.33333333333333298</v>
      </c>
      <c r="KU339" s="28">
        <v>0.35416666666666702</v>
      </c>
      <c r="KV339" s="28">
        <v>0.375</v>
      </c>
      <c r="KW339" s="28">
        <v>0.39583333333333298</v>
      </c>
      <c r="KX339" s="28">
        <v>0.41666666666666702</v>
      </c>
      <c r="KY339" s="28">
        <v>0.4375</v>
      </c>
      <c r="KZ339" s="28">
        <v>0.45833333333333298</v>
      </c>
      <c r="LA339" s="28">
        <v>0.47916666666666702</v>
      </c>
      <c r="LB339" s="28">
        <v>0.5</v>
      </c>
      <c r="LC339" s="28">
        <v>0.52083333333333304</v>
      </c>
      <c r="LD339" s="28">
        <v>0.54166666666666696</v>
      </c>
      <c r="LE339" s="28">
        <v>0.5625</v>
      </c>
      <c r="LF339" s="28">
        <v>0.58333333333333304</v>
      </c>
      <c r="LG339" s="28">
        <v>0.60416666666666696</v>
      </c>
      <c r="LH339" s="28">
        <v>0.625</v>
      </c>
      <c r="LI339" s="28">
        <v>0.64583333333333304</v>
      </c>
      <c r="LJ339" s="28">
        <v>0.66666666666666696</v>
      </c>
      <c r="LK339" s="28">
        <v>0.6875</v>
      </c>
      <c r="LL339" s="28">
        <v>0.70833333333333304</v>
      </c>
      <c r="LM339" s="28">
        <v>0.72916666666666696</v>
      </c>
      <c r="LN339" s="28">
        <v>0.75</v>
      </c>
      <c r="LO339" s="28">
        <v>0.77083333333333304</v>
      </c>
      <c r="LP339" s="28">
        <v>0.79166666666666696</v>
      </c>
      <c r="LQ339" s="28">
        <v>0.8125</v>
      </c>
      <c r="LR339" s="28">
        <v>0.83333333333333304</v>
      </c>
      <c r="LS339" s="28">
        <v>0.85416666666666696</v>
      </c>
      <c r="LT339" s="28">
        <v>0.875</v>
      </c>
      <c r="LU339" s="28">
        <v>0.89583333333333304</v>
      </c>
      <c r="LV339" s="28">
        <v>0.91666666666666696</v>
      </c>
      <c r="LW339" s="28">
        <v>0.9375</v>
      </c>
      <c r="LX339" s="28">
        <v>0.95833333333333304</v>
      </c>
      <c r="LY339" s="28">
        <v>0.97916666666666696</v>
      </c>
      <c r="MA339" s="1"/>
      <c r="MB339" s="1"/>
      <c r="MC339" s="2"/>
      <c r="MD339" s="1"/>
      <c r="ME339" s="1"/>
    </row>
    <row r="340" spans="1:343" x14ac:dyDescent="0.2">
      <c r="A340" s="2" t="s">
        <v>357</v>
      </c>
      <c r="B340" s="2">
        <v>1</v>
      </c>
      <c r="C340" s="2">
        <f>IF(C339&lt;&gt; 0,B340,B340+1)</f>
        <v>1</v>
      </c>
      <c r="D340" s="2">
        <f t="shared" ref="D340:BO340" si="61">IF(D339&lt;&gt; 0,C340,C340+1)</f>
        <v>1</v>
      </c>
      <c r="E340" s="2">
        <f t="shared" si="61"/>
        <v>1</v>
      </c>
      <c r="F340" s="2">
        <f t="shared" si="61"/>
        <v>1</v>
      </c>
      <c r="G340" s="2">
        <f t="shared" si="61"/>
        <v>1</v>
      </c>
      <c r="H340" s="2">
        <f t="shared" si="61"/>
        <v>1</v>
      </c>
      <c r="I340" s="2">
        <f t="shared" si="61"/>
        <v>1</v>
      </c>
      <c r="J340" s="2">
        <f t="shared" si="61"/>
        <v>1</v>
      </c>
      <c r="K340" s="2">
        <f t="shared" si="61"/>
        <v>1</v>
      </c>
      <c r="L340" s="2">
        <f t="shared" si="61"/>
        <v>1</v>
      </c>
      <c r="M340" s="2">
        <f t="shared" si="61"/>
        <v>1</v>
      </c>
      <c r="N340" s="2">
        <f t="shared" si="61"/>
        <v>1</v>
      </c>
      <c r="O340" s="2">
        <f t="shared" si="61"/>
        <v>1</v>
      </c>
      <c r="P340" s="2">
        <f t="shared" si="61"/>
        <v>1</v>
      </c>
      <c r="Q340" s="2">
        <f t="shared" si="61"/>
        <v>1</v>
      </c>
      <c r="R340" s="2">
        <f t="shared" si="61"/>
        <v>1</v>
      </c>
      <c r="S340" s="2">
        <f t="shared" si="61"/>
        <v>1</v>
      </c>
      <c r="T340" s="2">
        <f t="shared" si="61"/>
        <v>1</v>
      </c>
      <c r="U340" s="2">
        <f t="shared" si="61"/>
        <v>1</v>
      </c>
      <c r="V340" s="2">
        <f t="shared" si="61"/>
        <v>1</v>
      </c>
      <c r="W340" s="2">
        <f t="shared" si="61"/>
        <v>1</v>
      </c>
      <c r="X340" s="2">
        <f t="shared" si="61"/>
        <v>1</v>
      </c>
      <c r="Y340" s="2">
        <f t="shared" si="61"/>
        <v>1</v>
      </c>
      <c r="Z340" s="2">
        <f t="shared" si="61"/>
        <v>1</v>
      </c>
      <c r="AA340" s="2">
        <f t="shared" si="61"/>
        <v>1</v>
      </c>
      <c r="AB340" s="2">
        <f t="shared" si="61"/>
        <v>1</v>
      </c>
      <c r="AC340" s="2">
        <f t="shared" si="61"/>
        <v>1</v>
      </c>
      <c r="AD340" s="2">
        <f t="shared" si="61"/>
        <v>1</v>
      </c>
      <c r="AE340" s="2">
        <f t="shared" si="61"/>
        <v>1</v>
      </c>
      <c r="AF340" s="2">
        <f t="shared" si="61"/>
        <v>1</v>
      </c>
      <c r="AG340" s="2">
        <f t="shared" si="61"/>
        <v>1</v>
      </c>
      <c r="AH340" s="2">
        <f t="shared" si="61"/>
        <v>1</v>
      </c>
      <c r="AI340" s="2">
        <f t="shared" si="61"/>
        <v>1</v>
      </c>
      <c r="AJ340" s="2">
        <f t="shared" si="61"/>
        <v>1</v>
      </c>
      <c r="AK340" s="2">
        <f t="shared" si="61"/>
        <v>1</v>
      </c>
      <c r="AL340" s="2">
        <f t="shared" si="61"/>
        <v>1</v>
      </c>
      <c r="AM340" s="2">
        <f t="shared" si="61"/>
        <v>1</v>
      </c>
      <c r="AN340" s="2">
        <f t="shared" si="61"/>
        <v>1</v>
      </c>
      <c r="AO340" s="2">
        <f t="shared" si="61"/>
        <v>1</v>
      </c>
      <c r="AP340" s="2">
        <f t="shared" si="61"/>
        <v>1</v>
      </c>
      <c r="AQ340" s="2">
        <f t="shared" si="61"/>
        <v>1</v>
      </c>
      <c r="AR340" s="2">
        <f t="shared" si="61"/>
        <v>1</v>
      </c>
      <c r="AS340" s="2">
        <f t="shared" si="61"/>
        <v>1</v>
      </c>
      <c r="AT340" s="2">
        <f t="shared" si="61"/>
        <v>1</v>
      </c>
      <c r="AU340" s="2">
        <f t="shared" si="61"/>
        <v>1</v>
      </c>
      <c r="AV340" s="2">
        <f t="shared" si="61"/>
        <v>1</v>
      </c>
      <c r="AW340" s="2">
        <f t="shared" si="61"/>
        <v>1</v>
      </c>
      <c r="AX340" s="2">
        <f t="shared" si="61"/>
        <v>2</v>
      </c>
      <c r="AY340" s="2">
        <f t="shared" si="61"/>
        <v>2</v>
      </c>
      <c r="AZ340" s="2">
        <f t="shared" si="61"/>
        <v>2</v>
      </c>
      <c r="BA340" s="2">
        <f t="shared" si="61"/>
        <v>2</v>
      </c>
      <c r="BB340" s="2">
        <f t="shared" si="61"/>
        <v>2</v>
      </c>
      <c r="BC340" s="2">
        <f t="shared" si="61"/>
        <v>2</v>
      </c>
      <c r="BD340" s="2">
        <f t="shared" si="61"/>
        <v>2</v>
      </c>
      <c r="BE340" s="2">
        <f t="shared" si="61"/>
        <v>2</v>
      </c>
      <c r="BF340" s="2">
        <f t="shared" si="61"/>
        <v>2</v>
      </c>
      <c r="BG340" s="2">
        <f t="shared" si="61"/>
        <v>2</v>
      </c>
      <c r="BH340" s="2">
        <f t="shared" si="61"/>
        <v>2</v>
      </c>
      <c r="BI340" s="2">
        <f t="shared" si="61"/>
        <v>2</v>
      </c>
      <c r="BJ340" s="2">
        <f t="shared" si="61"/>
        <v>2</v>
      </c>
      <c r="BK340" s="2">
        <f t="shared" si="61"/>
        <v>2</v>
      </c>
      <c r="BL340" s="2">
        <f t="shared" si="61"/>
        <v>2</v>
      </c>
      <c r="BM340" s="2">
        <f t="shared" si="61"/>
        <v>2</v>
      </c>
      <c r="BN340" s="2">
        <f t="shared" si="61"/>
        <v>2</v>
      </c>
      <c r="BO340" s="2">
        <f t="shared" si="61"/>
        <v>2</v>
      </c>
      <c r="BP340" s="2">
        <f t="shared" ref="BP340:EA340" si="62">IF(BP339&lt;&gt; 0,BO340,BO340+1)</f>
        <v>2</v>
      </c>
      <c r="BQ340" s="2">
        <f t="shared" si="62"/>
        <v>2</v>
      </c>
      <c r="BR340" s="2">
        <f t="shared" si="62"/>
        <v>2</v>
      </c>
      <c r="BS340" s="2">
        <f t="shared" si="62"/>
        <v>2</v>
      </c>
      <c r="BT340" s="2">
        <f t="shared" si="62"/>
        <v>2</v>
      </c>
      <c r="BU340" s="2">
        <f t="shared" si="62"/>
        <v>2</v>
      </c>
      <c r="BV340" s="2">
        <f t="shared" si="62"/>
        <v>2</v>
      </c>
      <c r="BW340" s="2">
        <f t="shared" si="62"/>
        <v>2</v>
      </c>
      <c r="BX340" s="2">
        <f t="shared" si="62"/>
        <v>2</v>
      </c>
      <c r="BY340" s="2">
        <f t="shared" si="62"/>
        <v>2</v>
      </c>
      <c r="BZ340" s="2">
        <f t="shared" si="62"/>
        <v>2</v>
      </c>
      <c r="CA340" s="2">
        <f t="shared" si="62"/>
        <v>2</v>
      </c>
      <c r="CB340" s="2">
        <f t="shared" si="62"/>
        <v>2</v>
      </c>
      <c r="CC340" s="2">
        <f t="shared" si="62"/>
        <v>2</v>
      </c>
      <c r="CD340" s="2">
        <f t="shared" si="62"/>
        <v>2</v>
      </c>
      <c r="CE340" s="2">
        <f t="shared" si="62"/>
        <v>2</v>
      </c>
      <c r="CF340" s="2">
        <f t="shared" si="62"/>
        <v>2</v>
      </c>
      <c r="CG340" s="2">
        <f t="shared" si="62"/>
        <v>2</v>
      </c>
      <c r="CH340" s="2">
        <f t="shared" si="62"/>
        <v>2</v>
      </c>
      <c r="CI340" s="2">
        <f t="shared" si="62"/>
        <v>2</v>
      </c>
      <c r="CJ340" s="2">
        <f t="shared" si="62"/>
        <v>2</v>
      </c>
      <c r="CK340" s="2">
        <f t="shared" si="62"/>
        <v>2</v>
      </c>
      <c r="CL340" s="2">
        <f t="shared" si="62"/>
        <v>2</v>
      </c>
      <c r="CM340" s="2">
        <f t="shared" si="62"/>
        <v>2</v>
      </c>
      <c r="CN340" s="2">
        <f t="shared" si="62"/>
        <v>2</v>
      </c>
      <c r="CO340" s="2">
        <f t="shared" si="62"/>
        <v>2</v>
      </c>
      <c r="CP340" s="2">
        <f t="shared" si="62"/>
        <v>2</v>
      </c>
      <c r="CQ340" s="2">
        <f t="shared" si="62"/>
        <v>2</v>
      </c>
      <c r="CR340" s="2">
        <f t="shared" si="62"/>
        <v>2</v>
      </c>
      <c r="CS340" s="2">
        <f t="shared" si="62"/>
        <v>2</v>
      </c>
      <c r="CT340" s="2">
        <f t="shared" si="62"/>
        <v>3</v>
      </c>
      <c r="CU340" s="2">
        <f t="shared" si="62"/>
        <v>3</v>
      </c>
      <c r="CV340" s="2">
        <f t="shared" si="62"/>
        <v>3</v>
      </c>
      <c r="CW340" s="2">
        <f t="shared" si="62"/>
        <v>3</v>
      </c>
      <c r="CX340" s="2">
        <f t="shared" si="62"/>
        <v>3</v>
      </c>
      <c r="CY340" s="2">
        <f t="shared" si="62"/>
        <v>3</v>
      </c>
      <c r="CZ340" s="2">
        <f t="shared" si="62"/>
        <v>3</v>
      </c>
      <c r="DA340" s="2">
        <f t="shared" si="62"/>
        <v>3</v>
      </c>
      <c r="DB340" s="2">
        <f t="shared" si="62"/>
        <v>3</v>
      </c>
      <c r="DC340" s="2">
        <f t="shared" si="62"/>
        <v>3</v>
      </c>
      <c r="DD340" s="2">
        <f t="shared" si="62"/>
        <v>3</v>
      </c>
      <c r="DE340" s="2">
        <f t="shared" si="62"/>
        <v>3</v>
      </c>
      <c r="DF340" s="2">
        <f t="shared" si="62"/>
        <v>3</v>
      </c>
      <c r="DG340" s="2">
        <f t="shared" si="62"/>
        <v>3</v>
      </c>
      <c r="DH340" s="2">
        <f t="shared" si="62"/>
        <v>3</v>
      </c>
      <c r="DI340" s="2">
        <f t="shared" si="62"/>
        <v>3</v>
      </c>
      <c r="DJ340" s="2">
        <f t="shared" si="62"/>
        <v>3</v>
      </c>
      <c r="DK340" s="2">
        <f t="shared" si="62"/>
        <v>3</v>
      </c>
      <c r="DL340" s="2">
        <f t="shared" si="62"/>
        <v>3</v>
      </c>
      <c r="DM340" s="2">
        <f t="shared" si="62"/>
        <v>3</v>
      </c>
      <c r="DN340" s="2">
        <f t="shared" si="62"/>
        <v>3</v>
      </c>
      <c r="DO340" s="2">
        <f t="shared" si="62"/>
        <v>3</v>
      </c>
      <c r="DP340" s="2">
        <f t="shared" si="62"/>
        <v>3</v>
      </c>
      <c r="DQ340" s="2">
        <f t="shared" si="62"/>
        <v>3</v>
      </c>
      <c r="DR340" s="2">
        <f t="shared" si="62"/>
        <v>3</v>
      </c>
      <c r="DS340" s="2">
        <f t="shared" si="62"/>
        <v>3</v>
      </c>
      <c r="DT340" s="2">
        <f t="shared" si="62"/>
        <v>3</v>
      </c>
      <c r="DU340" s="2">
        <f t="shared" si="62"/>
        <v>3</v>
      </c>
      <c r="DV340" s="2">
        <f t="shared" si="62"/>
        <v>3</v>
      </c>
      <c r="DW340" s="2">
        <f t="shared" si="62"/>
        <v>3</v>
      </c>
      <c r="DX340" s="2">
        <f t="shared" si="62"/>
        <v>3</v>
      </c>
      <c r="DY340" s="2">
        <f t="shared" si="62"/>
        <v>3</v>
      </c>
      <c r="DZ340" s="2">
        <f t="shared" si="62"/>
        <v>3</v>
      </c>
      <c r="EA340" s="2">
        <f t="shared" si="62"/>
        <v>3</v>
      </c>
      <c r="EB340" s="2">
        <f t="shared" ref="EB340:GM340" si="63">IF(EB339&lt;&gt; 0,EA340,EA340+1)</f>
        <v>3</v>
      </c>
      <c r="EC340" s="2">
        <f t="shared" si="63"/>
        <v>3</v>
      </c>
      <c r="ED340" s="2">
        <f t="shared" si="63"/>
        <v>3</v>
      </c>
      <c r="EE340" s="2">
        <f t="shared" si="63"/>
        <v>3</v>
      </c>
      <c r="EF340" s="2">
        <f t="shared" si="63"/>
        <v>3</v>
      </c>
      <c r="EG340" s="2">
        <f t="shared" si="63"/>
        <v>3</v>
      </c>
      <c r="EH340" s="2">
        <f t="shared" si="63"/>
        <v>3</v>
      </c>
      <c r="EI340" s="2">
        <f t="shared" si="63"/>
        <v>3</v>
      </c>
      <c r="EJ340" s="2">
        <f t="shared" si="63"/>
        <v>3</v>
      </c>
      <c r="EK340" s="2">
        <f t="shared" si="63"/>
        <v>3</v>
      </c>
      <c r="EL340" s="2">
        <f t="shared" si="63"/>
        <v>3</v>
      </c>
      <c r="EM340" s="2">
        <f t="shared" si="63"/>
        <v>3</v>
      </c>
      <c r="EN340" s="2">
        <f t="shared" si="63"/>
        <v>3</v>
      </c>
      <c r="EO340" s="2">
        <f t="shared" si="63"/>
        <v>3</v>
      </c>
      <c r="EP340" s="2">
        <f t="shared" si="63"/>
        <v>4</v>
      </c>
      <c r="EQ340" s="2">
        <f t="shared" si="63"/>
        <v>4</v>
      </c>
      <c r="ER340" s="2">
        <f t="shared" si="63"/>
        <v>4</v>
      </c>
      <c r="ES340" s="2">
        <f t="shared" si="63"/>
        <v>4</v>
      </c>
      <c r="ET340" s="2">
        <f t="shared" si="63"/>
        <v>4</v>
      </c>
      <c r="EU340" s="2">
        <f t="shared" si="63"/>
        <v>4</v>
      </c>
      <c r="EV340" s="2">
        <f t="shared" si="63"/>
        <v>4</v>
      </c>
      <c r="EW340" s="2">
        <f t="shared" si="63"/>
        <v>4</v>
      </c>
      <c r="EX340" s="2">
        <f t="shared" si="63"/>
        <v>4</v>
      </c>
      <c r="EY340" s="2">
        <f t="shared" si="63"/>
        <v>4</v>
      </c>
      <c r="EZ340" s="2">
        <f t="shared" si="63"/>
        <v>4</v>
      </c>
      <c r="FA340" s="2">
        <f t="shared" si="63"/>
        <v>4</v>
      </c>
      <c r="FB340" s="2">
        <f t="shared" si="63"/>
        <v>4</v>
      </c>
      <c r="FC340" s="2">
        <f t="shared" si="63"/>
        <v>4</v>
      </c>
      <c r="FD340" s="2">
        <f t="shared" si="63"/>
        <v>4</v>
      </c>
      <c r="FE340" s="2">
        <f t="shared" si="63"/>
        <v>4</v>
      </c>
      <c r="FF340" s="2">
        <f t="shared" si="63"/>
        <v>4</v>
      </c>
      <c r="FG340" s="2">
        <f t="shared" si="63"/>
        <v>4</v>
      </c>
      <c r="FH340" s="2">
        <f t="shared" si="63"/>
        <v>4</v>
      </c>
      <c r="FI340" s="2">
        <f t="shared" si="63"/>
        <v>4</v>
      </c>
      <c r="FJ340" s="2">
        <f t="shared" si="63"/>
        <v>4</v>
      </c>
      <c r="FK340" s="2">
        <f t="shared" si="63"/>
        <v>4</v>
      </c>
      <c r="FL340" s="2">
        <f t="shared" si="63"/>
        <v>4</v>
      </c>
      <c r="FM340" s="2">
        <f t="shared" si="63"/>
        <v>4</v>
      </c>
      <c r="FN340" s="2">
        <f t="shared" si="63"/>
        <v>4</v>
      </c>
      <c r="FO340" s="2">
        <f t="shared" si="63"/>
        <v>4</v>
      </c>
      <c r="FP340" s="2">
        <f t="shared" si="63"/>
        <v>4</v>
      </c>
      <c r="FQ340" s="2">
        <f t="shared" si="63"/>
        <v>4</v>
      </c>
      <c r="FR340" s="2">
        <f t="shared" si="63"/>
        <v>4</v>
      </c>
      <c r="FS340" s="2">
        <f t="shared" si="63"/>
        <v>4</v>
      </c>
      <c r="FT340" s="2">
        <f t="shared" si="63"/>
        <v>4</v>
      </c>
      <c r="FU340" s="2">
        <f t="shared" si="63"/>
        <v>4</v>
      </c>
      <c r="FV340" s="2">
        <f t="shared" si="63"/>
        <v>4</v>
      </c>
      <c r="FW340" s="2">
        <f t="shared" si="63"/>
        <v>4</v>
      </c>
      <c r="FX340" s="2">
        <f t="shared" si="63"/>
        <v>4</v>
      </c>
      <c r="FY340" s="2">
        <f t="shared" si="63"/>
        <v>4</v>
      </c>
      <c r="FZ340" s="2">
        <f t="shared" si="63"/>
        <v>4</v>
      </c>
      <c r="GA340" s="2">
        <f t="shared" si="63"/>
        <v>4</v>
      </c>
      <c r="GB340" s="2">
        <f t="shared" si="63"/>
        <v>4</v>
      </c>
      <c r="GC340" s="2">
        <f t="shared" si="63"/>
        <v>4</v>
      </c>
      <c r="GD340" s="2">
        <f t="shared" si="63"/>
        <v>4</v>
      </c>
      <c r="GE340" s="2">
        <f t="shared" si="63"/>
        <v>4</v>
      </c>
      <c r="GF340" s="2">
        <f t="shared" si="63"/>
        <v>4</v>
      </c>
      <c r="GG340" s="2">
        <f t="shared" si="63"/>
        <v>4</v>
      </c>
      <c r="GH340" s="2">
        <f t="shared" si="63"/>
        <v>4</v>
      </c>
      <c r="GI340" s="2">
        <f t="shared" si="63"/>
        <v>4</v>
      </c>
      <c r="GJ340" s="2">
        <f t="shared" si="63"/>
        <v>4</v>
      </c>
      <c r="GK340" s="2">
        <f t="shared" si="63"/>
        <v>4</v>
      </c>
      <c r="GL340" s="2">
        <f t="shared" si="63"/>
        <v>5</v>
      </c>
      <c r="GM340" s="2">
        <f t="shared" si="63"/>
        <v>5</v>
      </c>
      <c r="GN340" s="2">
        <f t="shared" ref="GN340:IY340" si="64">IF(GN339&lt;&gt; 0,GM340,GM340+1)</f>
        <v>5</v>
      </c>
      <c r="GO340" s="2">
        <f t="shared" si="64"/>
        <v>5</v>
      </c>
      <c r="GP340" s="2">
        <f t="shared" si="64"/>
        <v>5</v>
      </c>
      <c r="GQ340" s="2">
        <f t="shared" si="64"/>
        <v>5</v>
      </c>
      <c r="GR340" s="2">
        <f t="shared" si="64"/>
        <v>5</v>
      </c>
      <c r="GS340" s="2">
        <f t="shared" si="64"/>
        <v>5</v>
      </c>
      <c r="GT340" s="2">
        <f t="shared" si="64"/>
        <v>5</v>
      </c>
      <c r="GU340" s="2">
        <f t="shared" si="64"/>
        <v>5</v>
      </c>
      <c r="GV340" s="2">
        <f t="shared" si="64"/>
        <v>5</v>
      </c>
      <c r="GW340" s="2">
        <f t="shared" si="64"/>
        <v>5</v>
      </c>
      <c r="GX340" s="2">
        <f t="shared" si="64"/>
        <v>5</v>
      </c>
      <c r="GY340" s="2">
        <f t="shared" si="64"/>
        <v>5</v>
      </c>
      <c r="GZ340" s="2">
        <f t="shared" si="64"/>
        <v>5</v>
      </c>
      <c r="HA340" s="2">
        <f t="shared" si="64"/>
        <v>5</v>
      </c>
      <c r="HB340" s="2">
        <f t="shared" si="64"/>
        <v>5</v>
      </c>
      <c r="HC340" s="2">
        <f t="shared" si="64"/>
        <v>5</v>
      </c>
      <c r="HD340" s="2">
        <f t="shared" si="64"/>
        <v>5</v>
      </c>
      <c r="HE340" s="2">
        <f t="shared" si="64"/>
        <v>5</v>
      </c>
      <c r="HF340" s="2">
        <f t="shared" si="64"/>
        <v>5</v>
      </c>
      <c r="HG340" s="2">
        <f t="shared" si="64"/>
        <v>5</v>
      </c>
      <c r="HH340" s="2">
        <f t="shared" si="64"/>
        <v>5</v>
      </c>
      <c r="HI340" s="2">
        <f t="shared" si="64"/>
        <v>5</v>
      </c>
      <c r="HJ340" s="2">
        <f t="shared" si="64"/>
        <v>5</v>
      </c>
      <c r="HK340" s="2">
        <f t="shared" si="64"/>
        <v>5</v>
      </c>
      <c r="HL340" s="2">
        <f t="shared" si="64"/>
        <v>5</v>
      </c>
      <c r="HM340" s="2">
        <f t="shared" si="64"/>
        <v>5</v>
      </c>
      <c r="HN340" s="2">
        <f t="shared" si="64"/>
        <v>5</v>
      </c>
      <c r="HO340" s="2">
        <f t="shared" si="64"/>
        <v>5</v>
      </c>
      <c r="HP340" s="2">
        <f t="shared" si="64"/>
        <v>5</v>
      </c>
      <c r="HQ340" s="2">
        <f t="shared" si="64"/>
        <v>5</v>
      </c>
      <c r="HR340" s="2">
        <f t="shared" si="64"/>
        <v>5</v>
      </c>
      <c r="HS340" s="2">
        <f t="shared" si="64"/>
        <v>5</v>
      </c>
      <c r="HT340" s="2">
        <f t="shared" si="64"/>
        <v>5</v>
      </c>
      <c r="HU340" s="2">
        <f t="shared" si="64"/>
        <v>5</v>
      </c>
      <c r="HV340" s="2">
        <f t="shared" si="64"/>
        <v>5</v>
      </c>
      <c r="HW340" s="2">
        <f t="shared" si="64"/>
        <v>5</v>
      </c>
      <c r="HX340" s="2">
        <f t="shared" si="64"/>
        <v>5</v>
      </c>
      <c r="HY340" s="2">
        <f t="shared" si="64"/>
        <v>5</v>
      </c>
      <c r="HZ340" s="2">
        <f t="shared" si="64"/>
        <v>5</v>
      </c>
      <c r="IA340" s="2">
        <f t="shared" si="64"/>
        <v>5</v>
      </c>
      <c r="IB340" s="2">
        <f t="shared" si="64"/>
        <v>5</v>
      </c>
      <c r="IC340" s="2">
        <f t="shared" si="64"/>
        <v>5</v>
      </c>
      <c r="ID340" s="2">
        <f t="shared" si="64"/>
        <v>5</v>
      </c>
      <c r="IE340" s="2">
        <f t="shared" si="64"/>
        <v>5</v>
      </c>
      <c r="IF340" s="2">
        <f t="shared" si="64"/>
        <v>5</v>
      </c>
      <c r="IG340" s="2">
        <f t="shared" si="64"/>
        <v>5</v>
      </c>
      <c r="IH340" s="2">
        <f t="shared" si="64"/>
        <v>6</v>
      </c>
      <c r="II340" s="2">
        <f t="shared" si="64"/>
        <v>6</v>
      </c>
      <c r="IJ340" s="2">
        <f t="shared" si="64"/>
        <v>6</v>
      </c>
      <c r="IK340" s="2">
        <f t="shared" si="64"/>
        <v>6</v>
      </c>
      <c r="IL340" s="2">
        <f t="shared" si="64"/>
        <v>6</v>
      </c>
      <c r="IM340" s="2">
        <f t="shared" si="64"/>
        <v>6</v>
      </c>
      <c r="IN340" s="2">
        <f t="shared" si="64"/>
        <v>6</v>
      </c>
      <c r="IO340" s="2">
        <f t="shared" si="64"/>
        <v>6</v>
      </c>
      <c r="IP340" s="2">
        <f t="shared" si="64"/>
        <v>6</v>
      </c>
      <c r="IQ340" s="2">
        <f t="shared" si="64"/>
        <v>6</v>
      </c>
      <c r="IR340" s="2">
        <f t="shared" si="64"/>
        <v>6</v>
      </c>
      <c r="IS340" s="2">
        <f t="shared" si="64"/>
        <v>6</v>
      </c>
      <c r="IT340" s="2">
        <f t="shared" si="64"/>
        <v>6</v>
      </c>
      <c r="IU340" s="2">
        <f t="shared" si="64"/>
        <v>6</v>
      </c>
      <c r="IV340" s="2">
        <f t="shared" si="64"/>
        <v>6</v>
      </c>
      <c r="IW340" s="2">
        <f t="shared" si="64"/>
        <v>6</v>
      </c>
      <c r="IX340" s="2">
        <f t="shared" si="64"/>
        <v>6</v>
      </c>
      <c r="IY340" s="2">
        <f t="shared" si="64"/>
        <v>6</v>
      </c>
      <c r="IZ340" s="2">
        <f t="shared" ref="IZ340:LK340" si="65">IF(IZ339&lt;&gt; 0,IY340,IY340+1)</f>
        <v>6</v>
      </c>
      <c r="JA340" s="2">
        <f t="shared" si="65"/>
        <v>6</v>
      </c>
      <c r="JB340" s="2">
        <f t="shared" si="65"/>
        <v>6</v>
      </c>
      <c r="JC340" s="2">
        <f t="shared" si="65"/>
        <v>6</v>
      </c>
      <c r="JD340" s="2">
        <f t="shared" si="65"/>
        <v>6</v>
      </c>
      <c r="JE340" s="2">
        <f t="shared" si="65"/>
        <v>6</v>
      </c>
      <c r="JF340" s="2">
        <f t="shared" si="65"/>
        <v>6</v>
      </c>
      <c r="JG340" s="2">
        <f t="shared" si="65"/>
        <v>6</v>
      </c>
      <c r="JH340" s="2">
        <f t="shared" si="65"/>
        <v>6</v>
      </c>
      <c r="JI340" s="2">
        <f t="shared" si="65"/>
        <v>6</v>
      </c>
      <c r="JJ340" s="2">
        <f t="shared" si="65"/>
        <v>6</v>
      </c>
      <c r="JK340" s="2">
        <f t="shared" si="65"/>
        <v>6</v>
      </c>
      <c r="JL340" s="2">
        <f t="shared" si="65"/>
        <v>6</v>
      </c>
      <c r="JM340" s="2">
        <f t="shared" si="65"/>
        <v>6</v>
      </c>
      <c r="JN340" s="2">
        <f t="shared" si="65"/>
        <v>6</v>
      </c>
      <c r="JO340" s="2">
        <f t="shared" si="65"/>
        <v>6</v>
      </c>
      <c r="JP340" s="2">
        <f t="shared" si="65"/>
        <v>6</v>
      </c>
      <c r="JQ340" s="2">
        <f t="shared" si="65"/>
        <v>6</v>
      </c>
      <c r="JR340" s="2">
        <f t="shared" si="65"/>
        <v>6</v>
      </c>
      <c r="JS340" s="2">
        <f t="shared" si="65"/>
        <v>6</v>
      </c>
      <c r="JT340" s="2">
        <f t="shared" si="65"/>
        <v>6</v>
      </c>
      <c r="JU340" s="2">
        <f t="shared" si="65"/>
        <v>6</v>
      </c>
      <c r="JV340" s="2">
        <f t="shared" si="65"/>
        <v>6</v>
      </c>
      <c r="JW340" s="2">
        <f t="shared" si="65"/>
        <v>6</v>
      </c>
      <c r="JX340" s="2">
        <f t="shared" si="65"/>
        <v>6</v>
      </c>
      <c r="JY340" s="2">
        <f t="shared" si="65"/>
        <v>6</v>
      </c>
      <c r="JZ340" s="2">
        <f t="shared" si="65"/>
        <v>6</v>
      </c>
      <c r="KA340" s="2">
        <f t="shared" si="65"/>
        <v>6</v>
      </c>
      <c r="KB340" s="2">
        <f t="shared" si="65"/>
        <v>6</v>
      </c>
      <c r="KC340" s="2">
        <f t="shared" si="65"/>
        <v>6</v>
      </c>
      <c r="KD340" s="2">
        <f t="shared" si="65"/>
        <v>7</v>
      </c>
      <c r="KE340" s="2">
        <f t="shared" si="65"/>
        <v>7</v>
      </c>
      <c r="KF340" s="2">
        <f t="shared" si="65"/>
        <v>7</v>
      </c>
      <c r="KG340" s="2">
        <f t="shared" si="65"/>
        <v>7</v>
      </c>
      <c r="KH340" s="2">
        <f t="shared" si="65"/>
        <v>7</v>
      </c>
      <c r="KI340" s="2">
        <f t="shared" si="65"/>
        <v>7</v>
      </c>
      <c r="KJ340" s="2">
        <f t="shared" si="65"/>
        <v>7</v>
      </c>
      <c r="KK340" s="2">
        <f t="shared" si="65"/>
        <v>7</v>
      </c>
      <c r="KL340" s="2">
        <f t="shared" si="65"/>
        <v>7</v>
      </c>
      <c r="KM340" s="2">
        <f t="shared" si="65"/>
        <v>7</v>
      </c>
      <c r="KN340" s="2">
        <f t="shared" si="65"/>
        <v>7</v>
      </c>
      <c r="KO340" s="2">
        <f t="shared" si="65"/>
        <v>7</v>
      </c>
      <c r="KP340" s="2">
        <f t="shared" si="65"/>
        <v>7</v>
      </c>
      <c r="KQ340" s="2">
        <f t="shared" si="65"/>
        <v>7</v>
      </c>
      <c r="KR340" s="2">
        <f t="shared" si="65"/>
        <v>7</v>
      </c>
      <c r="KS340" s="2">
        <f t="shared" si="65"/>
        <v>7</v>
      </c>
      <c r="KT340" s="2">
        <f t="shared" si="65"/>
        <v>7</v>
      </c>
      <c r="KU340" s="2">
        <f t="shared" si="65"/>
        <v>7</v>
      </c>
      <c r="KV340" s="2">
        <f t="shared" si="65"/>
        <v>7</v>
      </c>
      <c r="KW340" s="2">
        <f t="shared" si="65"/>
        <v>7</v>
      </c>
      <c r="KX340" s="2">
        <f t="shared" si="65"/>
        <v>7</v>
      </c>
      <c r="KY340" s="2">
        <f t="shared" si="65"/>
        <v>7</v>
      </c>
      <c r="KZ340" s="2">
        <f t="shared" si="65"/>
        <v>7</v>
      </c>
      <c r="LA340" s="2">
        <f t="shared" si="65"/>
        <v>7</v>
      </c>
      <c r="LB340" s="2">
        <f t="shared" si="65"/>
        <v>7</v>
      </c>
      <c r="LC340" s="2">
        <f t="shared" si="65"/>
        <v>7</v>
      </c>
      <c r="LD340" s="2">
        <f t="shared" si="65"/>
        <v>7</v>
      </c>
      <c r="LE340" s="2">
        <f t="shared" si="65"/>
        <v>7</v>
      </c>
      <c r="LF340" s="2">
        <f t="shared" si="65"/>
        <v>7</v>
      </c>
      <c r="LG340" s="2">
        <f t="shared" si="65"/>
        <v>7</v>
      </c>
      <c r="LH340" s="2">
        <f t="shared" si="65"/>
        <v>7</v>
      </c>
      <c r="LI340" s="2">
        <f t="shared" si="65"/>
        <v>7</v>
      </c>
      <c r="LJ340" s="2">
        <f t="shared" si="65"/>
        <v>7</v>
      </c>
      <c r="LK340" s="2">
        <f t="shared" si="65"/>
        <v>7</v>
      </c>
      <c r="LL340" s="2">
        <f t="shared" ref="LL340:LY340" si="66">IF(LL339&lt;&gt; 0,LK340,LK340+1)</f>
        <v>7</v>
      </c>
      <c r="LM340" s="2">
        <f t="shared" si="66"/>
        <v>7</v>
      </c>
      <c r="LN340" s="2">
        <f t="shared" si="66"/>
        <v>7</v>
      </c>
      <c r="LO340" s="2">
        <f t="shared" si="66"/>
        <v>7</v>
      </c>
      <c r="LP340" s="2">
        <f t="shared" si="66"/>
        <v>7</v>
      </c>
      <c r="LQ340" s="2">
        <f t="shared" si="66"/>
        <v>7</v>
      </c>
      <c r="LR340" s="2">
        <f t="shared" si="66"/>
        <v>7</v>
      </c>
      <c r="LS340" s="2">
        <f t="shared" si="66"/>
        <v>7</v>
      </c>
      <c r="LT340" s="2">
        <f t="shared" si="66"/>
        <v>7</v>
      </c>
      <c r="LU340" s="2">
        <f t="shared" si="66"/>
        <v>7</v>
      </c>
      <c r="LV340" s="2">
        <f t="shared" si="66"/>
        <v>7</v>
      </c>
      <c r="LW340" s="2">
        <f t="shared" si="66"/>
        <v>7</v>
      </c>
      <c r="LX340" s="2">
        <f t="shared" si="66"/>
        <v>7</v>
      </c>
      <c r="LY340" s="2">
        <f t="shared" si="66"/>
        <v>7</v>
      </c>
      <c r="MA340" s="1"/>
      <c r="MB340" s="1"/>
      <c r="MC340" s="2"/>
      <c r="MD340" s="1"/>
      <c r="ME340" s="1"/>
    </row>
    <row r="341" spans="1:343" x14ac:dyDescent="0.2">
      <c r="A341" s="2"/>
      <c r="B341">
        <f>B338</f>
        <v>0</v>
      </c>
      <c r="C341" s="2">
        <f t="shared" ref="C341:BN341" si="67">C338</f>
        <v>0</v>
      </c>
      <c r="D341" s="2">
        <f t="shared" si="67"/>
        <v>0</v>
      </c>
      <c r="E341" s="2">
        <f t="shared" si="67"/>
        <v>0</v>
      </c>
      <c r="F341" s="2">
        <f t="shared" si="67"/>
        <v>0</v>
      </c>
      <c r="G341" s="2">
        <f t="shared" si="67"/>
        <v>0</v>
      </c>
      <c r="H341" s="2">
        <f t="shared" si="67"/>
        <v>0</v>
      </c>
      <c r="I341" s="2">
        <f t="shared" si="67"/>
        <v>0</v>
      </c>
      <c r="J341" s="2">
        <f t="shared" si="67"/>
        <v>0</v>
      </c>
      <c r="K341" s="2">
        <f t="shared" si="67"/>
        <v>0</v>
      </c>
      <c r="L341" s="2">
        <f t="shared" si="67"/>
        <v>0</v>
      </c>
      <c r="M341" s="2">
        <f t="shared" si="67"/>
        <v>0</v>
      </c>
      <c r="N341" s="2">
        <f t="shared" si="67"/>
        <v>0</v>
      </c>
      <c r="O341" s="2">
        <f t="shared" si="67"/>
        <v>0</v>
      </c>
      <c r="P341" s="2">
        <f t="shared" si="67"/>
        <v>0</v>
      </c>
      <c r="Q341" s="2">
        <f t="shared" si="67"/>
        <v>0</v>
      </c>
      <c r="R341" s="2">
        <f t="shared" si="67"/>
        <v>0</v>
      </c>
      <c r="S341" s="2">
        <f t="shared" si="67"/>
        <v>0</v>
      </c>
      <c r="T341" s="2">
        <f t="shared" si="67"/>
        <v>0</v>
      </c>
      <c r="U341" s="2">
        <f t="shared" si="67"/>
        <v>0</v>
      </c>
      <c r="V341" s="2">
        <f t="shared" si="67"/>
        <v>0</v>
      </c>
      <c r="W341" s="2">
        <f t="shared" si="67"/>
        <v>0</v>
      </c>
      <c r="X341" s="2">
        <f t="shared" si="67"/>
        <v>0</v>
      </c>
      <c r="Y341" s="2">
        <f t="shared" si="67"/>
        <v>0</v>
      </c>
      <c r="Z341" s="2">
        <f t="shared" si="67"/>
        <v>0</v>
      </c>
      <c r="AA341" s="2">
        <f t="shared" si="67"/>
        <v>0</v>
      </c>
      <c r="AB341" s="2">
        <f t="shared" si="67"/>
        <v>0</v>
      </c>
      <c r="AC341" s="2">
        <f t="shared" si="67"/>
        <v>0</v>
      </c>
      <c r="AD341" s="2">
        <f t="shared" si="67"/>
        <v>0</v>
      </c>
      <c r="AE341" s="2">
        <f t="shared" si="67"/>
        <v>0</v>
      </c>
      <c r="AF341" s="2">
        <f t="shared" si="67"/>
        <v>1</v>
      </c>
      <c r="AG341" s="2">
        <f t="shared" si="67"/>
        <v>0</v>
      </c>
      <c r="AH341" s="2">
        <f t="shared" si="67"/>
        <v>0</v>
      </c>
      <c r="AI341" s="2">
        <f t="shared" si="67"/>
        <v>0</v>
      </c>
      <c r="AJ341" s="2">
        <f t="shared" si="67"/>
        <v>0</v>
      </c>
      <c r="AK341" s="2">
        <f t="shared" si="67"/>
        <v>0</v>
      </c>
      <c r="AL341" s="2">
        <f t="shared" si="67"/>
        <v>0</v>
      </c>
      <c r="AM341" s="2">
        <f t="shared" si="67"/>
        <v>0</v>
      </c>
      <c r="AN341" s="2">
        <f t="shared" si="67"/>
        <v>0</v>
      </c>
      <c r="AO341" s="2">
        <f t="shared" si="67"/>
        <v>0</v>
      </c>
      <c r="AP341" s="2">
        <f t="shared" si="67"/>
        <v>0</v>
      </c>
      <c r="AQ341" s="2">
        <f t="shared" si="67"/>
        <v>0</v>
      </c>
      <c r="AR341" s="2">
        <f t="shared" si="67"/>
        <v>0</v>
      </c>
      <c r="AS341" s="2">
        <f t="shared" si="67"/>
        <v>0</v>
      </c>
      <c r="AT341" s="2">
        <f t="shared" si="67"/>
        <v>0</v>
      </c>
      <c r="AU341" s="2">
        <f t="shared" si="67"/>
        <v>0</v>
      </c>
      <c r="AV341" s="2">
        <f t="shared" si="67"/>
        <v>0</v>
      </c>
      <c r="AW341" s="2">
        <f t="shared" si="67"/>
        <v>0</v>
      </c>
      <c r="AX341" s="2">
        <f t="shared" si="67"/>
        <v>0</v>
      </c>
      <c r="AY341" s="2">
        <f t="shared" si="67"/>
        <v>0</v>
      </c>
      <c r="AZ341" s="2">
        <f t="shared" si="67"/>
        <v>0</v>
      </c>
      <c r="BA341" s="2">
        <f t="shared" si="67"/>
        <v>0</v>
      </c>
      <c r="BB341" s="2">
        <f t="shared" si="67"/>
        <v>0</v>
      </c>
      <c r="BC341" s="2">
        <f t="shared" si="67"/>
        <v>0</v>
      </c>
      <c r="BD341" s="2">
        <f t="shared" si="67"/>
        <v>0</v>
      </c>
      <c r="BE341" s="2">
        <f t="shared" si="67"/>
        <v>0</v>
      </c>
      <c r="BF341" s="2">
        <f t="shared" si="67"/>
        <v>0</v>
      </c>
      <c r="BG341" s="2">
        <f t="shared" si="67"/>
        <v>0</v>
      </c>
      <c r="BH341" s="2">
        <f t="shared" si="67"/>
        <v>0</v>
      </c>
      <c r="BI341" s="2">
        <f t="shared" si="67"/>
        <v>0</v>
      </c>
      <c r="BJ341" s="2">
        <f t="shared" si="67"/>
        <v>0</v>
      </c>
      <c r="BK341" s="2">
        <f t="shared" si="67"/>
        <v>0</v>
      </c>
      <c r="BL341" s="2">
        <f t="shared" si="67"/>
        <v>0</v>
      </c>
      <c r="BM341" s="2">
        <f t="shared" si="67"/>
        <v>0</v>
      </c>
      <c r="BN341" s="2">
        <f t="shared" si="67"/>
        <v>0</v>
      </c>
      <c r="BO341" s="2">
        <f t="shared" ref="BO341:DZ341" si="68">BO338</f>
        <v>0</v>
      </c>
      <c r="BP341" s="2">
        <f t="shared" si="68"/>
        <v>0</v>
      </c>
      <c r="BQ341" s="2">
        <f t="shared" si="68"/>
        <v>0</v>
      </c>
      <c r="BR341" s="2">
        <f t="shared" si="68"/>
        <v>0</v>
      </c>
      <c r="BS341" s="2">
        <f t="shared" si="68"/>
        <v>0</v>
      </c>
      <c r="BT341" s="2">
        <f t="shared" si="68"/>
        <v>0</v>
      </c>
      <c r="BU341" s="2">
        <f t="shared" si="68"/>
        <v>0</v>
      </c>
      <c r="BV341" s="2">
        <f t="shared" si="68"/>
        <v>0</v>
      </c>
      <c r="BW341" s="2">
        <f t="shared" si="68"/>
        <v>0</v>
      </c>
      <c r="BX341" s="2">
        <f t="shared" si="68"/>
        <v>0</v>
      </c>
      <c r="BY341" s="2">
        <f t="shared" si="68"/>
        <v>0</v>
      </c>
      <c r="BZ341" s="2">
        <f t="shared" si="68"/>
        <v>0</v>
      </c>
      <c r="CA341" s="2">
        <f t="shared" si="68"/>
        <v>0</v>
      </c>
      <c r="CB341" s="2">
        <f t="shared" si="68"/>
        <v>0</v>
      </c>
      <c r="CC341" s="2">
        <f t="shared" si="68"/>
        <v>0</v>
      </c>
      <c r="CD341" s="2">
        <f t="shared" si="68"/>
        <v>1</v>
      </c>
      <c r="CE341" s="2">
        <f t="shared" si="68"/>
        <v>0</v>
      </c>
      <c r="CF341" s="2">
        <f t="shared" si="68"/>
        <v>0</v>
      </c>
      <c r="CG341" s="2">
        <f t="shared" si="68"/>
        <v>0</v>
      </c>
      <c r="CH341" s="2">
        <f t="shared" si="68"/>
        <v>0</v>
      </c>
      <c r="CI341" s="2">
        <f t="shared" si="68"/>
        <v>0</v>
      </c>
      <c r="CJ341" s="2">
        <f t="shared" si="68"/>
        <v>0</v>
      </c>
      <c r="CK341" s="2">
        <f t="shared" si="68"/>
        <v>0</v>
      </c>
      <c r="CL341" s="2">
        <f t="shared" si="68"/>
        <v>0</v>
      </c>
      <c r="CM341" s="2">
        <f t="shared" si="68"/>
        <v>0</v>
      </c>
      <c r="CN341" s="2">
        <f t="shared" si="68"/>
        <v>0</v>
      </c>
      <c r="CO341" s="2">
        <f t="shared" si="68"/>
        <v>0</v>
      </c>
      <c r="CP341" s="2">
        <f t="shared" si="68"/>
        <v>0</v>
      </c>
      <c r="CQ341" s="2">
        <f t="shared" si="68"/>
        <v>0</v>
      </c>
      <c r="CR341" s="2">
        <f t="shared" si="68"/>
        <v>0</v>
      </c>
      <c r="CS341" s="2">
        <f t="shared" si="68"/>
        <v>0</v>
      </c>
      <c r="CT341" s="2">
        <f t="shared" si="68"/>
        <v>0</v>
      </c>
      <c r="CU341" s="2">
        <f t="shared" si="68"/>
        <v>0</v>
      </c>
      <c r="CV341" s="2">
        <f t="shared" si="68"/>
        <v>0</v>
      </c>
      <c r="CW341" s="2">
        <f t="shared" si="68"/>
        <v>0</v>
      </c>
      <c r="CX341" s="2">
        <f t="shared" si="68"/>
        <v>0</v>
      </c>
      <c r="CY341" s="2">
        <f t="shared" si="68"/>
        <v>0</v>
      </c>
      <c r="CZ341" s="2">
        <f t="shared" si="68"/>
        <v>0</v>
      </c>
      <c r="DA341" s="2">
        <f t="shared" si="68"/>
        <v>0</v>
      </c>
      <c r="DB341" s="2">
        <f t="shared" si="68"/>
        <v>0</v>
      </c>
      <c r="DC341" s="2">
        <f t="shared" si="68"/>
        <v>0</v>
      </c>
      <c r="DD341" s="2">
        <f t="shared" si="68"/>
        <v>0</v>
      </c>
      <c r="DE341" s="2">
        <f t="shared" si="68"/>
        <v>0</v>
      </c>
      <c r="DF341" s="2">
        <f t="shared" si="68"/>
        <v>0</v>
      </c>
      <c r="DG341" s="2">
        <f t="shared" si="68"/>
        <v>0</v>
      </c>
      <c r="DH341" s="2">
        <f t="shared" si="68"/>
        <v>0</v>
      </c>
      <c r="DI341" s="2">
        <f t="shared" si="68"/>
        <v>0</v>
      </c>
      <c r="DJ341" s="2">
        <f t="shared" si="68"/>
        <v>0</v>
      </c>
      <c r="DK341" s="2">
        <f t="shared" si="68"/>
        <v>0</v>
      </c>
      <c r="DL341" s="2">
        <f t="shared" si="68"/>
        <v>0</v>
      </c>
      <c r="DM341" s="2">
        <f t="shared" si="68"/>
        <v>0</v>
      </c>
      <c r="DN341" s="2">
        <f t="shared" si="68"/>
        <v>0</v>
      </c>
      <c r="DO341" s="2">
        <f t="shared" si="68"/>
        <v>0</v>
      </c>
      <c r="DP341" s="2">
        <f t="shared" si="68"/>
        <v>0</v>
      </c>
      <c r="DQ341" s="2">
        <f t="shared" si="68"/>
        <v>0</v>
      </c>
      <c r="DR341" s="2">
        <f t="shared" si="68"/>
        <v>0</v>
      </c>
      <c r="DS341" s="2">
        <f t="shared" si="68"/>
        <v>0</v>
      </c>
      <c r="DT341" s="2">
        <f t="shared" si="68"/>
        <v>0</v>
      </c>
      <c r="DU341" s="2">
        <f t="shared" si="68"/>
        <v>0</v>
      </c>
      <c r="DV341" s="2">
        <f t="shared" si="68"/>
        <v>0</v>
      </c>
      <c r="DW341" s="2">
        <f t="shared" si="68"/>
        <v>0</v>
      </c>
      <c r="DX341" s="2">
        <f t="shared" si="68"/>
        <v>0</v>
      </c>
      <c r="DY341" s="2">
        <f t="shared" si="68"/>
        <v>0</v>
      </c>
      <c r="DZ341" s="2">
        <f t="shared" si="68"/>
        <v>0</v>
      </c>
      <c r="EA341" s="2">
        <f t="shared" ref="EA341:GL341" si="69">EA338</f>
        <v>0</v>
      </c>
      <c r="EB341" s="2">
        <f t="shared" si="69"/>
        <v>1</v>
      </c>
      <c r="EC341" s="2">
        <f t="shared" si="69"/>
        <v>0</v>
      </c>
      <c r="ED341" s="2">
        <f t="shared" si="69"/>
        <v>0</v>
      </c>
      <c r="EE341" s="2">
        <f t="shared" si="69"/>
        <v>0</v>
      </c>
      <c r="EF341" s="2">
        <f t="shared" si="69"/>
        <v>0</v>
      </c>
      <c r="EG341" s="2">
        <f t="shared" si="69"/>
        <v>0</v>
      </c>
      <c r="EH341" s="2">
        <f t="shared" si="69"/>
        <v>0</v>
      </c>
      <c r="EI341" s="2">
        <f t="shared" si="69"/>
        <v>0</v>
      </c>
      <c r="EJ341" s="2">
        <f t="shared" si="69"/>
        <v>0</v>
      </c>
      <c r="EK341" s="2">
        <f t="shared" si="69"/>
        <v>0</v>
      </c>
      <c r="EL341" s="2">
        <f t="shared" si="69"/>
        <v>0</v>
      </c>
      <c r="EM341" s="2">
        <f t="shared" si="69"/>
        <v>0</v>
      </c>
      <c r="EN341" s="2">
        <f t="shared" si="69"/>
        <v>0</v>
      </c>
      <c r="EO341" s="2">
        <f t="shared" si="69"/>
        <v>0</v>
      </c>
      <c r="EP341" s="2">
        <f t="shared" si="69"/>
        <v>0</v>
      </c>
      <c r="EQ341" s="2">
        <f t="shared" si="69"/>
        <v>0</v>
      </c>
      <c r="ER341" s="2">
        <f t="shared" si="69"/>
        <v>0</v>
      </c>
      <c r="ES341" s="2">
        <f t="shared" si="69"/>
        <v>0</v>
      </c>
      <c r="ET341" s="2">
        <f t="shared" si="69"/>
        <v>0</v>
      </c>
      <c r="EU341" s="2">
        <f t="shared" si="69"/>
        <v>0</v>
      </c>
      <c r="EV341" s="2">
        <f t="shared" si="69"/>
        <v>0</v>
      </c>
      <c r="EW341" s="2">
        <f t="shared" si="69"/>
        <v>0</v>
      </c>
      <c r="EX341" s="2">
        <f t="shared" si="69"/>
        <v>0</v>
      </c>
      <c r="EY341" s="2">
        <f t="shared" si="69"/>
        <v>0</v>
      </c>
      <c r="EZ341" s="2">
        <f t="shared" si="69"/>
        <v>0</v>
      </c>
      <c r="FA341" s="2">
        <f t="shared" si="69"/>
        <v>0</v>
      </c>
      <c r="FB341" s="2">
        <f t="shared" si="69"/>
        <v>0</v>
      </c>
      <c r="FC341" s="2">
        <f t="shared" si="69"/>
        <v>0</v>
      </c>
      <c r="FD341" s="2">
        <f t="shared" si="69"/>
        <v>0</v>
      </c>
      <c r="FE341" s="2">
        <f t="shared" si="69"/>
        <v>0</v>
      </c>
      <c r="FF341" s="2">
        <f t="shared" si="69"/>
        <v>0</v>
      </c>
      <c r="FG341" s="2">
        <f t="shared" si="69"/>
        <v>0</v>
      </c>
      <c r="FH341" s="2">
        <f t="shared" si="69"/>
        <v>0</v>
      </c>
      <c r="FI341" s="2">
        <f t="shared" si="69"/>
        <v>0</v>
      </c>
      <c r="FJ341" s="2">
        <f t="shared" si="69"/>
        <v>0</v>
      </c>
      <c r="FK341" s="2">
        <f t="shared" si="69"/>
        <v>0</v>
      </c>
      <c r="FL341" s="2">
        <f t="shared" si="69"/>
        <v>0</v>
      </c>
      <c r="FM341" s="2">
        <f t="shared" si="69"/>
        <v>0</v>
      </c>
      <c r="FN341" s="2">
        <f t="shared" si="69"/>
        <v>0</v>
      </c>
      <c r="FO341" s="2">
        <f t="shared" si="69"/>
        <v>0</v>
      </c>
      <c r="FP341" s="2">
        <f t="shared" si="69"/>
        <v>0</v>
      </c>
      <c r="FQ341" s="2">
        <f t="shared" si="69"/>
        <v>0</v>
      </c>
      <c r="FR341" s="2">
        <f t="shared" si="69"/>
        <v>0</v>
      </c>
      <c r="FS341" s="2">
        <f t="shared" si="69"/>
        <v>0</v>
      </c>
      <c r="FT341" s="2">
        <f t="shared" si="69"/>
        <v>0</v>
      </c>
      <c r="FU341" s="2">
        <f t="shared" si="69"/>
        <v>0</v>
      </c>
      <c r="FV341" s="2">
        <f t="shared" si="69"/>
        <v>1</v>
      </c>
      <c r="FW341" s="2">
        <f t="shared" si="69"/>
        <v>0</v>
      </c>
      <c r="FX341" s="2">
        <f t="shared" si="69"/>
        <v>0</v>
      </c>
      <c r="FY341" s="2">
        <f t="shared" si="69"/>
        <v>0</v>
      </c>
      <c r="FZ341" s="2">
        <f t="shared" si="69"/>
        <v>0</v>
      </c>
      <c r="GA341" s="2">
        <f t="shared" si="69"/>
        <v>0</v>
      </c>
      <c r="GB341" s="2">
        <f t="shared" si="69"/>
        <v>0</v>
      </c>
      <c r="GC341" s="2">
        <f t="shared" si="69"/>
        <v>0</v>
      </c>
      <c r="GD341" s="2">
        <f t="shared" si="69"/>
        <v>0</v>
      </c>
      <c r="GE341" s="2">
        <f t="shared" si="69"/>
        <v>0</v>
      </c>
      <c r="GF341" s="2">
        <f t="shared" si="69"/>
        <v>0</v>
      </c>
      <c r="GG341" s="2">
        <f t="shared" si="69"/>
        <v>0</v>
      </c>
      <c r="GH341" s="2">
        <f t="shared" si="69"/>
        <v>0</v>
      </c>
      <c r="GI341" s="2">
        <f t="shared" si="69"/>
        <v>0</v>
      </c>
      <c r="GJ341" s="2">
        <f t="shared" si="69"/>
        <v>0</v>
      </c>
      <c r="GK341" s="2">
        <f t="shared" si="69"/>
        <v>0</v>
      </c>
      <c r="GL341" s="2">
        <f t="shared" si="69"/>
        <v>0</v>
      </c>
      <c r="GM341" s="2">
        <f t="shared" ref="GM341:IX341" si="70">GM338</f>
        <v>0</v>
      </c>
      <c r="GN341" s="2">
        <f t="shared" si="70"/>
        <v>0</v>
      </c>
      <c r="GO341" s="2">
        <f t="shared" si="70"/>
        <v>0</v>
      </c>
      <c r="GP341" s="2">
        <f t="shared" si="70"/>
        <v>0</v>
      </c>
      <c r="GQ341" s="2">
        <f t="shared" si="70"/>
        <v>0</v>
      </c>
      <c r="GR341" s="2">
        <f t="shared" si="70"/>
        <v>0</v>
      </c>
      <c r="GS341" s="2">
        <f t="shared" si="70"/>
        <v>0</v>
      </c>
      <c r="GT341" s="2">
        <f t="shared" si="70"/>
        <v>0</v>
      </c>
      <c r="GU341" s="2">
        <f t="shared" si="70"/>
        <v>0</v>
      </c>
      <c r="GV341" s="2">
        <f t="shared" si="70"/>
        <v>0</v>
      </c>
      <c r="GW341" s="2">
        <f t="shared" si="70"/>
        <v>0</v>
      </c>
      <c r="GX341" s="2">
        <f t="shared" si="70"/>
        <v>0</v>
      </c>
      <c r="GY341" s="2">
        <f t="shared" si="70"/>
        <v>0</v>
      </c>
      <c r="GZ341" s="2">
        <f t="shared" si="70"/>
        <v>0</v>
      </c>
      <c r="HA341" s="2">
        <f t="shared" si="70"/>
        <v>0</v>
      </c>
      <c r="HB341" s="2">
        <f t="shared" si="70"/>
        <v>0</v>
      </c>
      <c r="HC341" s="2">
        <f t="shared" si="70"/>
        <v>0</v>
      </c>
      <c r="HD341" s="2">
        <f t="shared" si="70"/>
        <v>0</v>
      </c>
      <c r="HE341" s="2">
        <f t="shared" si="70"/>
        <v>0</v>
      </c>
      <c r="HF341" s="2">
        <f t="shared" si="70"/>
        <v>0</v>
      </c>
      <c r="HG341" s="2">
        <f t="shared" si="70"/>
        <v>0</v>
      </c>
      <c r="HH341" s="2">
        <f t="shared" si="70"/>
        <v>0</v>
      </c>
      <c r="HI341" s="2">
        <f t="shared" si="70"/>
        <v>0</v>
      </c>
      <c r="HJ341" s="2">
        <f t="shared" si="70"/>
        <v>0</v>
      </c>
      <c r="HK341" s="2">
        <f t="shared" si="70"/>
        <v>0</v>
      </c>
      <c r="HL341" s="2">
        <f t="shared" si="70"/>
        <v>0</v>
      </c>
      <c r="HM341" s="2">
        <f t="shared" si="70"/>
        <v>0</v>
      </c>
      <c r="HN341" s="2">
        <f t="shared" si="70"/>
        <v>0</v>
      </c>
      <c r="HO341" s="2">
        <f t="shared" si="70"/>
        <v>0</v>
      </c>
      <c r="HP341" s="2">
        <f t="shared" si="70"/>
        <v>0</v>
      </c>
      <c r="HQ341" s="2">
        <f t="shared" si="70"/>
        <v>0</v>
      </c>
      <c r="HR341" s="2">
        <f t="shared" si="70"/>
        <v>0</v>
      </c>
      <c r="HS341" s="2">
        <f t="shared" si="70"/>
        <v>0</v>
      </c>
      <c r="HT341" s="2">
        <f t="shared" si="70"/>
        <v>1</v>
      </c>
      <c r="HU341" s="2">
        <f t="shared" si="70"/>
        <v>0</v>
      </c>
      <c r="HV341" s="2">
        <f t="shared" si="70"/>
        <v>0</v>
      </c>
      <c r="HW341" s="2">
        <f t="shared" si="70"/>
        <v>0</v>
      </c>
      <c r="HX341" s="2">
        <f t="shared" si="70"/>
        <v>0</v>
      </c>
      <c r="HY341" s="2">
        <f t="shared" si="70"/>
        <v>0</v>
      </c>
      <c r="HZ341" s="2">
        <f t="shared" si="70"/>
        <v>0</v>
      </c>
      <c r="IA341" s="2">
        <f t="shared" si="70"/>
        <v>0</v>
      </c>
      <c r="IB341" s="2">
        <f t="shared" si="70"/>
        <v>0</v>
      </c>
      <c r="IC341" s="2">
        <f t="shared" si="70"/>
        <v>0</v>
      </c>
      <c r="ID341" s="2">
        <f t="shared" si="70"/>
        <v>0</v>
      </c>
      <c r="IE341" s="2">
        <f t="shared" si="70"/>
        <v>0</v>
      </c>
      <c r="IF341" s="2">
        <f t="shared" si="70"/>
        <v>0</v>
      </c>
      <c r="IG341" s="2">
        <f t="shared" si="70"/>
        <v>0</v>
      </c>
      <c r="IH341" s="2">
        <f t="shared" si="70"/>
        <v>0</v>
      </c>
      <c r="II341" s="2">
        <f t="shared" si="70"/>
        <v>0</v>
      </c>
      <c r="IJ341" s="2">
        <f t="shared" si="70"/>
        <v>0</v>
      </c>
      <c r="IK341" s="2">
        <f t="shared" si="70"/>
        <v>0</v>
      </c>
      <c r="IL341" s="2">
        <f t="shared" si="70"/>
        <v>0</v>
      </c>
      <c r="IM341" s="2">
        <f t="shared" si="70"/>
        <v>0</v>
      </c>
      <c r="IN341" s="2">
        <f t="shared" si="70"/>
        <v>0</v>
      </c>
      <c r="IO341" s="2">
        <f t="shared" si="70"/>
        <v>0</v>
      </c>
      <c r="IP341" s="2">
        <f t="shared" si="70"/>
        <v>0</v>
      </c>
      <c r="IQ341" s="2">
        <f t="shared" si="70"/>
        <v>0</v>
      </c>
      <c r="IR341" s="2">
        <f t="shared" si="70"/>
        <v>0</v>
      </c>
      <c r="IS341" s="2">
        <f t="shared" si="70"/>
        <v>0</v>
      </c>
      <c r="IT341" s="2">
        <f t="shared" si="70"/>
        <v>0</v>
      </c>
      <c r="IU341" s="2">
        <f t="shared" si="70"/>
        <v>0</v>
      </c>
      <c r="IV341" s="2">
        <f t="shared" si="70"/>
        <v>0</v>
      </c>
      <c r="IW341" s="2">
        <f t="shared" si="70"/>
        <v>0</v>
      </c>
      <c r="IX341" s="2">
        <f t="shared" si="70"/>
        <v>0</v>
      </c>
      <c r="IY341" s="2">
        <f t="shared" ref="IY341:LJ341" si="71">IY338</f>
        <v>0</v>
      </c>
      <c r="IZ341" s="2">
        <f t="shared" si="71"/>
        <v>0</v>
      </c>
      <c r="JA341" s="2">
        <f t="shared" si="71"/>
        <v>0</v>
      </c>
      <c r="JB341" s="2">
        <f t="shared" si="71"/>
        <v>0</v>
      </c>
      <c r="JC341" s="2">
        <f t="shared" si="71"/>
        <v>0</v>
      </c>
      <c r="JD341" s="2">
        <f t="shared" si="71"/>
        <v>0</v>
      </c>
      <c r="JE341" s="2">
        <f t="shared" si="71"/>
        <v>0</v>
      </c>
      <c r="JF341" s="2">
        <f t="shared" si="71"/>
        <v>0</v>
      </c>
      <c r="JG341" s="2">
        <f t="shared" si="71"/>
        <v>0</v>
      </c>
      <c r="JH341" s="2">
        <f t="shared" si="71"/>
        <v>0</v>
      </c>
      <c r="JI341" s="2">
        <f t="shared" si="71"/>
        <v>0</v>
      </c>
      <c r="JJ341" s="2">
        <f t="shared" si="71"/>
        <v>0</v>
      </c>
      <c r="JK341" s="2">
        <f t="shared" si="71"/>
        <v>0</v>
      </c>
      <c r="JL341" s="2">
        <f t="shared" si="71"/>
        <v>0</v>
      </c>
      <c r="JM341" s="2">
        <f t="shared" si="71"/>
        <v>0</v>
      </c>
      <c r="JN341" s="2">
        <f t="shared" si="71"/>
        <v>1</v>
      </c>
      <c r="JO341" s="2">
        <f t="shared" si="71"/>
        <v>0</v>
      </c>
      <c r="JP341" s="2">
        <f t="shared" si="71"/>
        <v>0</v>
      </c>
      <c r="JQ341" s="2">
        <f t="shared" si="71"/>
        <v>0</v>
      </c>
      <c r="JR341" s="2">
        <f t="shared" si="71"/>
        <v>0</v>
      </c>
      <c r="JS341" s="2">
        <f t="shared" si="71"/>
        <v>0</v>
      </c>
      <c r="JT341" s="2">
        <f t="shared" si="71"/>
        <v>0</v>
      </c>
      <c r="JU341" s="2">
        <f t="shared" si="71"/>
        <v>0</v>
      </c>
      <c r="JV341" s="2">
        <f t="shared" si="71"/>
        <v>0</v>
      </c>
      <c r="JW341" s="2">
        <f t="shared" si="71"/>
        <v>0</v>
      </c>
      <c r="JX341" s="2">
        <f t="shared" si="71"/>
        <v>0</v>
      </c>
      <c r="JY341" s="2">
        <f t="shared" si="71"/>
        <v>0</v>
      </c>
      <c r="JZ341" s="2">
        <f t="shared" si="71"/>
        <v>0</v>
      </c>
      <c r="KA341" s="2">
        <f t="shared" si="71"/>
        <v>0</v>
      </c>
      <c r="KB341" s="2">
        <f t="shared" si="71"/>
        <v>0</v>
      </c>
      <c r="KC341" s="2">
        <f t="shared" si="71"/>
        <v>0</v>
      </c>
      <c r="KD341" s="2">
        <f t="shared" si="71"/>
        <v>0</v>
      </c>
      <c r="KE341" s="2">
        <f t="shared" si="71"/>
        <v>0</v>
      </c>
      <c r="KF341" s="2">
        <f t="shared" si="71"/>
        <v>0</v>
      </c>
      <c r="KG341" s="2">
        <f t="shared" si="71"/>
        <v>0</v>
      </c>
      <c r="KH341" s="2">
        <f t="shared" si="71"/>
        <v>0</v>
      </c>
      <c r="KI341" s="2">
        <f t="shared" si="71"/>
        <v>0</v>
      </c>
      <c r="KJ341" s="2">
        <f t="shared" si="71"/>
        <v>0</v>
      </c>
      <c r="KK341" s="2">
        <f t="shared" si="71"/>
        <v>0</v>
      </c>
      <c r="KL341" s="2">
        <f t="shared" si="71"/>
        <v>0</v>
      </c>
      <c r="KM341" s="2">
        <f t="shared" si="71"/>
        <v>0</v>
      </c>
      <c r="KN341" s="2">
        <f t="shared" si="71"/>
        <v>0</v>
      </c>
      <c r="KO341" s="2">
        <f t="shared" si="71"/>
        <v>0</v>
      </c>
      <c r="KP341" s="2">
        <f t="shared" si="71"/>
        <v>0</v>
      </c>
      <c r="KQ341" s="2">
        <f t="shared" si="71"/>
        <v>0</v>
      </c>
      <c r="KR341" s="2">
        <f t="shared" si="71"/>
        <v>0</v>
      </c>
      <c r="KS341" s="2">
        <f t="shared" si="71"/>
        <v>0</v>
      </c>
      <c r="KT341" s="2">
        <f t="shared" si="71"/>
        <v>0</v>
      </c>
      <c r="KU341" s="2">
        <f t="shared" si="71"/>
        <v>0</v>
      </c>
      <c r="KV341" s="2">
        <f t="shared" si="71"/>
        <v>0</v>
      </c>
      <c r="KW341" s="2">
        <f t="shared" si="71"/>
        <v>0</v>
      </c>
      <c r="KX341" s="2">
        <f t="shared" si="71"/>
        <v>0</v>
      </c>
      <c r="KY341" s="2">
        <f t="shared" si="71"/>
        <v>0</v>
      </c>
      <c r="KZ341" s="2">
        <f t="shared" si="71"/>
        <v>0</v>
      </c>
      <c r="LA341" s="2">
        <f t="shared" si="71"/>
        <v>0</v>
      </c>
      <c r="LB341" s="2">
        <f t="shared" si="71"/>
        <v>0</v>
      </c>
      <c r="LC341" s="2">
        <f t="shared" si="71"/>
        <v>0</v>
      </c>
      <c r="LD341" s="2">
        <f t="shared" si="71"/>
        <v>0</v>
      </c>
      <c r="LE341" s="2">
        <f t="shared" si="71"/>
        <v>0</v>
      </c>
      <c r="LF341" s="2">
        <f t="shared" si="71"/>
        <v>0</v>
      </c>
      <c r="LG341" s="2">
        <f t="shared" si="71"/>
        <v>0</v>
      </c>
      <c r="LH341" s="2">
        <f t="shared" si="71"/>
        <v>1</v>
      </c>
      <c r="LI341" s="2">
        <f t="shared" si="71"/>
        <v>0</v>
      </c>
      <c r="LJ341" s="2">
        <f t="shared" si="71"/>
        <v>0</v>
      </c>
      <c r="LK341" s="2">
        <f t="shared" ref="LK341:LY341" si="72">LK338</f>
        <v>0</v>
      </c>
      <c r="LL341" s="2">
        <f t="shared" si="72"/>
        <v>0</v>
      </c>
      <c r="LM341" s="2">
        <f t="shared" si="72"/>
        <v>0</v>
      </c>
      <c r="LN341" s="2">
        <f t="shared" si="72"/>
        <v>0</v>
      </c>
      <c r="LO341" s="2">
        <f t="shared" si="72"/>
        <v>0</v>
      </c>
      <c r="LP341" s="2">
        <f t="shared" si="72"/>
        <v>0</v>
      </c>
      <c r="LQ341" s="2">
        <f t="shared" si="72"/>
        <v>0</v>
      </c>
      <c r="LR341" s="2">
        <f t="shared" si="72"/>
        <v>0</v>
      </c>
      <c r="LS341" s="2">
        <f t="shared" si="72"/>
        <v>0</v>
      </c>
      <c r="LT341" s="2">
        <f t="shared" si="72"/>
        <v>0</v>
      </c>
      <c r="LU341" s="2">
        <f t="shared" si="72"/>
        <v>0</v>
      </c>
      <c r="LV341" s="2">
        <f t="shared" si="72"/>
        <v>0</v>
      </c>
      <c r="LW341" s="2">
        <f t="shared" si="72"/>
        <v>0</v>
      </c>
      <c r="LX341" s="2">
        <f t="shared" si="72"/>
        <v>0</v>
      </c>
      <c r="LY341" s="2">
        <f t="shared" si="72"/>
        <v>0</v>
      </c>
      <c r="MA341" s="1"/>
      <c r="MB341" s="1"/>
      <c r="MC341" s="2"/>
      <c r="MD341" s="1"/>
      <c r="ME341" s="1"/>
    </row>
    <row r="342" spans="1:343" x14ac:dyDescent="0.2">
      <c r="A342" s="2"/>
    </row>
    <row r="343" spans="1:343" x14ac:dyDescent="0.2">
      <c r="A343" s="2"/>
    </row>
    <row r="344" spans="1:343" x14ac:dyDescent="0.2">
      <c r="A344" s="2"/>
    </row>
    <row r="345" spans="1:343" x14ac:dyDescent="0.2">
      <c r="A345" s="2"/>
    </row>
    <row r="346" spans="1:343" x14ac:dyDescent="0.2">
      <c r="A346" s="2"/>
    </row>
    <row r="347" spans="1:343" x14ac:dyDescent="0.2">
      <c r="A347" s="2"/>
    </row>
    <row r="348" spans="1:343" x14ac:dyDescent="0.2">
      <c r="A348" s="2"/>
    </row>
    <row r="349" spans="1:343" x14ac:dyDescent="0.2">
      <c r="A349" s="2"/>
    </row>
    <row r="350" spans="1:343" x14ac:dyDescent="0.2">
      <c r="A350" s="2"/>
    </row>
    <row r="351" spans="1:343" x14ac:dyDescent="0.2">
      <c r="A351" s="2"/>
    </row>
    <row r="352" spans="1:343" x14ac:dyDescent="0.2">
      <c r="A352" s="2"/>
    </row>
    <row r="353" spans="1:1" x14ac:dyDescent="0.2">
      <c r="A353" s="2"/>
    </row>
    <row r="354" spans="1:1" x14ac:dyDescent="0.2">
      <c r="A354" s="2"/>
    </row>
    <row r="355" spans="1:1" x14ac:dyDescent="0.2">
      <c r="A355" s="2"/>
    </row>
    <row r="356" spans="1:1" x14ac:dyDescent="0.2">
      <c r="A356" s="2"/>
    </row>
    <row r="357" spans="1:1" x14ac:dyDescent="0.2">
      <c r="A357" s="2"/>
    </row>
    <row r="358" spans="1:1" x14ac:dyDescent="0.2">
      <c r="A358" s="2"/>
    </row>
    <row r="359" spans="1:1" x14ac:dyDescent="0.2">
      <c r="A359" s="2"/>
    </row>
    <row r="360" spans="1:1" x14ac:dyDescent="0.2">
      <c r="A360" s="2"/>
    </row>
    <row r="361" spans="1:1" x14ac:dyDescent="0.2">
      <c r="A361" s="2"/>
    </row>
    <row r="362" spans="1:1" x14ac:dyDescent="0.2">
      <c r="A362" s="2"/>
    </row>
    <row r="363" spans="1:1" x14ac:dyDescent="0.2">
      <c r="A363" s="2"/>
    </row>
    <row r="364" spans="1:1" x14ac:dyDescent="0.2">
      <c r="A364" s="2"/>
    </row>
    <row r="365" spans="1:1" x14ac:dyDescent="0.2">
      <c r="A365" s="2"/>
    </row>
    <row r="366" spans="1:1" x14ac:dyDescent="0.2">
      <c r="A366" s="2"/>
    </row>
    <row r="367" spans="1:1" x14ac:dyDescent="0.2">
      <c r="A367" s="2"/>
    </row>
    <row r="368" spans="1:1" x14ac:dyDescent="0.2">
      <c r="A368" s="2"/>
    </row>
    <row r="369" spans="1:1" x14ac:dyDescent="0.2">
      <c r="A369" s="2"/>
    </row>
    <row r="370" spans="1:1" x14ac:dyDescent="0.2">
      <c r="A370" s="2"/>
    </row>
    <row r="371" spans="1:1" x14ac:dyDescent="0.2">
      <c r="A371" s="2"/>
    </row>
    <row r="372" spans="1:1" x14ac:dyDescent="0.2">
      <c r="A372" s="2"/>
    </row>
    <row r="373" spans="1:1" x14ac:dyDescent="0.2">
      <c r="A373" s="2"/>
    </row>
    <row r="374" spans="1:1" x14ac:dyDescent="0.2">
      <c r="A374" s="2"/>
    </row>
    <row r="375" spans="1:1" x14ac:dyDescent="0.2">
      <c r="A375" s="2"/>
    </row>
    <row r="376" spans="1:1" x14ac:dyDescent="0.2">
      <c r="A376" s="2"/>
    </row>
    <row r="377" spans="1:1" x14ac:dyDescent="0.2">
      <c r="A377" s="2"/>
    </row>
  </sheetData>
  <mergeCells count="8">
    <mergeCell ref="MH2:MI2"/>
    <mergeCell ref="NA46:NC46"/>
    <mergeCell ref="MI46:MK46"/>
    <mergeCell ref="ML46:MN46"/>
    <mergeCell ref="MO46:MQ46"/>
    <mergeCell ref="MR46:MT46"/>
    <mergeCell ref="MU46:MW46"/>
    <mergeCell ref="MX46:MZ4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7"/>
  <sheetViews>
    <sheetView topLeftCell="A283" workbookViewId="0">
      <selection activeCell="C2" sqref="C2:C337"/>
    </sheetView>
  </sheetViews>
  <sheetFormatPr defaultRowHeight="12.75" x14ac:dyDescent="0.2"/>
  <sheetData>
    <row r="1" spans="1:3" s="2" customFormat="1" x14ac:dyDescent="0.2">
      <c r="A1" s="2" t="s">
        <v>358</v>
      </c>
      <c r="B1" s="2" t="s">
        <v>359</v>
      </c>
      <c r="C1" s="2" t="s">
        <v>360</v>
      </c>
    </row>
    <row r="2" spans="1:3" x14ac:dyDescent="0.2">
      <c r="A2" s="2">
        <v>1</v>
      </c>
      <c r="B2" s="2">
        <v>0</v>
      </c>
      <c r="C2" s="2">
        <v>0.37370014245014199</v>
      </c>
    </row>
    <row r="3" spans="1:3" x14ac:dyDescent="0.2">
      <c r="A3" s="2">
        <v>1</v>
      </c>
      <c r="B3" s="2">
        <v>0</v>
      </c>
      <c r="C3" s="2">
        <v>0.37370014245014199</v>
      </c>
    </row>
    <row r="4" spans="1:3" x14ac:dyDescent="0.2">
      <c r="A4" s="2">
        <v>1</v>
      </c>
      <c r="B4" s="2">
        <v>1</v>
      </c>
      <c r="C4" s="2">
        <v>0.24824136313897099</v>
      </c>
    </row>
    <row r="5" spans="1:3" x14ac:dyDescent="0.2">
      <c r="A5" s="2">
        <v>1</v>
      </c>
      <c r="B5" s="2">
        <v>1</v>
      </c>
      <c r="C5" s="2">
        <v>0.24824136313897099</v>
      </c>
    </row>
    <row r="6" spans="1:3" x14ac:dyDescent="0.2">
      <c r="A6" s="2">
        <v>1</v>
      </c>
      <c r="B6" s="2">
        <v>2</v>
      </c>
      <c r="C6" s="2">
        <v>0.166181229773463</v>
      </c>
    </row>
    <row r="7" spans="1:3" x14ac:dyDescent="0.2">
      <c r="A7" s="2">
        <v>1</v>
      </c>
      <c r="B7" s="2">
        <v>2</v>
      </c>
      <c r="C7" s="2">
        <v>0.166181229773463</v>
      </c>
    </row>
    <row r="8" spans="1:3" x14ac:dyDescent="0.2">
      <c r="A8" s="2">
        <v>1</v>
      </c>
      <c r="B8" s="2">
        <v>3</v>
      </c>
      <c r="C8" s="2">
        <v>0.125044091710758</v>
      </c>
    </row>
    <row r="9" spans="1:3" x14ac:dyDescent="0.2">
      <c r="A9" s="2">
        <v>1</v>
      </c>
      <c r="B9" s="2">
        <v>3</v>
      </c>
      <c r="C9" s="2">
        <v>0.125044091710758</v>
      </c>
    </row>
    <row r="10" spans="1:3" x14ac:dyDescent="0.2">
      <c r="A10" s="2">
        <v>1</v>
      </c>
      <c r="B10" s="2">
        <v>4</v>
      </c>
      <c r="C10" s="2">
        <v>0.109294532627866</v>
      </c>
    </row>
    <row r="11" spans="1:3" x14ac:dyDescent="0.2">
      <c r="A11" s="2">
        <v>1</v>
      </c>
      <c r="B11" s="2">
        <v>4</v>
      </c>
      <c r="C11" s="2">
        <v>0.109294532627866</v>
      </c>
    </row>
    <row r="12" spans="1:3" x14ac:dyDescent="0.2">
      <c r="A12" s="2">
        <v>1</v>
      </c>
      <c r="B12" s="2">
        <v>5</v>
      </c>
      <c r="C12" s="2">
        <v>0.105167548500882</v>
      </c>
    </row>
    <row r="13" spans="1:3" x14ac:dyDescent="0.2">
      <c r="A13" s="2">
        <v>1</v>
      </c>
      <c r="B13" s="2">
        <v>5</v>
      </c>
      <c r="C13" s="2">
        <v>0.105167548500882</v>
      </c>
    </row>
    <row r="14" spans="1:3" x14ac:dyDescent="0.2">
      <c r="A14" s="2">
        <v>1</v>
      </c>
      <c r="B14" s="2">
        <v>6</v>
      </c>
      <c r="C14" s="2">
        <v>0.10490299823633201</v>
      </c>
    </row>
    <row r="15" spans="1:3" x14ac:dyDescent="0.2">
      <c r="A15" s="2">
        <v>1</v>
      </c>
      <c r="B15" s="2">
        <v>6</v>
      </c>
      <c r="C15" s="2">
        <v>0.10490299823633201</v>
      </c>
    </row>
    <row r="16" spans="1:3" x14ac:dyDescent="0.2">
      <c r="A16" s="2">
        <v>1</v>
      </c>
      <c r="B16" s="2">
        <v>7</v>
      </c>
      <c r="C16" s="2">
        <v>0.101693121693122</v>
      </c>
    </row>
    <row r="17" spans="1:3" x14ac:dyDescent="0.2">
      <c r="A17" s="2">
        <v>1</v>
      </c>
      <c r="B17" s="2">
        <v>7</v>
      </c>
      <c r="C17" s="2">
        <v>0.101693121693122</v>
      </c>
    </row>
    <row r="18" spans="1:3" x14ac:dyDescent="0.2">
      <c r="A18" s="2">
        <v>1</v>
      </c>
      <c r="B18" s="2">
        <v>8</v>
      </c>
      <c r="C18" s="2">
        <v>0.13661375661375699</v>
      </c>
    </row>
    <row r="19" spans="1:3" x14ac:dyDescent="0.2">
      <c r="A19" s="2">
        <v>1</v>
      </c>
      <c r="B19" s="2">
        <v>8</v>
      </c>
      <c r="C19" s="2">
        <v>0.13661375661375699</v>
      </c>
    </row>
    <row r="20" spans="1:3" x14ac:dyDescent="0.2">
      <c r="A20" s="2">
        <v>1</v>
      </c>
      <c r="B20" s="2">
        <v>9</v>
      </c>
      <c r="C20" s="2">
        <v>0.20419753086419801</v>
      </c>
    </row>
    <row r="21" spans="1:3" x14ac:dyDescent="0.2">
      <c r="A21" s="2">
        <v>1</v>
      </c>
      <c r="B21" s="2">
        <v>9</v>
      </c>
      <c r="C21" s="2">
        <v>0.20419753086419801</v>
      </c>
    </row>
    <row r="22" spans="1:3" x14ac:dyDescent="0.2">
      <c r="A22" s="2">
        <v>1</v>
      </c>
      <c r="B22" s="2">
        <v>10</v>
      </c>
      <c r="C22" s="2">
        <v>0.29111111111111099</v>
      </c>
    </row>
    <row r="23" spans="1:3" x14ac:dyDescent="0.2">
      <c r="A23" s="2">
        <v>1</v>
      </c>
      <c r="B23" s="2">
        <v>10</v>
      </c>
      <c r="C23" s="2">
        <v>0.29111111111111099</v>
      </c>
    </row>
    <row r="24" spans="1:3" x14ac:dyDescent="0.2">
      <c r="A24" s="2">
        <v>1</v>
      </c>
      <c r="B24" s="2">
        <v>11</v>
      </c>
      <c r="C24" s="2">
        <v>0.39813051146384498</v>
      </c>
    </row>
    <row r="25" spans="1:3" x14ac:dyDescent="0.2">
      <c r="A25" s="2">
        <v>1</v>
      </c>
      <c r="B25" s="2">
        <v>11</v>
      </c>
      <c r="C25" s="2">
        <v>0.39813051146384498</v>
      </c>
    </row>
    <row r="26" spans="1:3" x14ac:dyDescent="0.2">
      <c r="A26" s="2">
        <v>1</v>
      </c>
      <c r="B26" s="2">
        <v>12</v>
      </c>
      <c r="C26" s="2">
        <v>0.46158730158730199</v>
      </c>
    </row>
    <row r="27" spans="1:3" x14ac:dyDescent="0.2">
      <c r="A27" s="2">
        <v>1</v>
      </c>
      <c r="B27" s="2">
        <v>12</v>
      </c>
      <c r="C27" s="2">
        <v>0.46158730158730199</v>
      </c>
    </row>
    <row r="28" spans="1:3" x14ac:dyDescent="0.2">
      <c r="A28" s="2">
        <v>1</v>
      </c>
      <c r="B28" s="2">
        <v>13</v>
      </c>
      <c r="C28" s="2">
        <v>0.51523809523809505</v>
      </c>
    </row>
    <row r="29" spans="1:3" x14ac:dyDescent="0.2">
      <c r="A29" s="2">
        <v>1</v>
      </c>
      <c r="B29" s="2">
        <v>13</v>
      </c>
      <c r="C29" s="2">
        <v>0.51523809523809505</v>
      </c>
    </row>
    <row r="30" spans="1:3" x14ac:dyDescent="0.2">
      <c r="A30" s="2">
        <v>1</v>
      </c>
      <c r="B30" s="2">
        <v>14</v>
      </c>
      <c r="C30" s="2">
        <v>0.571957671957672</v>
      </c>
    </row>
    <row r="31" spans="1:3" x14ac:dyDescent="0.2">
      <c r="A31" s="2">
        <v>1</v>
      </c>
      <c r="B31" s="2">
        <v>14</v>
      </c>
      <c r="C31" s="2">
        <v>0.571957671957672</v>
      </c>
    </row>
    <row r="32" spans="1:3" x14ac:dyDescent="0.2">
      <c r="A32" s="2">
        <v>1</v>
      </c>
      <c r="B32" s="2">
        <v>15</v>
      </c>
      <c r="C32" s="2">
        <v>0.59067019400352705</v>
      </c>
    </row>
    <row r="33" spans="1:3" x14ac:dyDescent="0.2">
      <c r="A33" s="2">
        <v>1</v>
      </c>
      <c r="B33" s="2">
        <v>15</v>
      </c>
      <c r="C33" s="2">
        <v>0.59067019400352705</v>
      </c>
    </row>
    <row r="34" spans="1:3" x14ac:dyDescent="0.2">
      <c r="A34" s="2">
        <v>1</v>
      </c>
      <c r="B34" s="2">
        <v>16</v>
      </c>
      <c r="C34" s="2">
        <v>0.61377425044091705</v>
      </c>
    </row>
    <row r="35" spans="1:3" x14ac:dyDescent="0.2">
      <c r="A35" s="2">
        <v>1</v>
      </c>
      <c r="B35" s="2">
        <v>16</v>
      </c>
      <c r="C35" s="2">
        <v>0.61377425044091705</v>
      </c>
    </row>
    <row r="36" spans="1:3" x14ac:dyDescent="0.2">
      <c r="A36" s="2">
        <v>1</v>
      </c>
      <c r="B36" s="2">
        <v>17</v>
      </c>
      <c r="C36" s="2">
        <v>0.64008818342151697</v>
      </c>
    </row>
    <row r="37" spans="1:3" x14ac:dyDescent="0.2">
      <c r="A37" s="2">
        <v>1</v>
      </c>
      <c r="B37" s="2">
        <v>17</v>
      </c>
      <c r="C37" s="2">
        <v>0.64008818342151697</v>
      </c>
    </row>
    <row r="38" spans="1:3" x14ac:dyDescent="0.2">
      <c r="A38" s="2">
        <v>1</v>
      </c>
      <c r="B38" s="2">
        <v>18</v>
      </c>
      <c r="C38" s="2">
        <v>0.69442680776014098</v>
      </c>
    </row>
    <row r="39" spans="1:3" x14ac:dyDescent="0.2">
      <c r="A39" s="2">
        <v>1</v>
      </c>
      <c r="B39" s="2">
        <v>18</v>
      </c>
      <c r="C39" s="2">
        <v>0.69442680776014098</v>
      </c>
    </row>
    <row r="40" spans="1:3" x14ac:dyDescent="0.2">
      <c r="A40" s="2">
        <v>1</v>
      </c>
      <c r="B40" s="2">
        <v>19</v>
      </c>
      <c r="C40" s="2">
        <v>0.77957671957672003</v>
      </c>
    </row>
    <row r="41" spans="1:3" x14ac:dyDescent="0.2">
      <c r="A41" s="2">
        <v>1</v>
      </c>
      <c r="B41" s="2">
        <v>19</v>
      </c>
      <c r="C41" s="2">
        <v>0.77957671957672003</v>
      </c>
    </row>
    <row r="42" spans="1:3" x14ac:dyDescent="0.2">
      <c r="A42" s="2">
        <v>1</v>
      </c>
      <c r="B42" s="2">
        <v>20</v>
      </c>
      <c r="C42" s="2">
        <v>0.788430335097002</v>
      </c>
    </row>
    <row r="43" spans="1:3" x14ac:dyDescent="0.2">
      <c r="A43" s="2">
        <v>1</v>
      </c>
      <c r="B43" s="2">
        <v>20</v>
      </c>
      <c r="C43" s="2">
        <v>0.788430335097002</v>
      </c>
    </row>
    <row r="44" spans="1:3" x14ac:dyDescent="0.2">
      <c r="A44" s="2">
        <v>1</v>
      </c>
      <c r="B44" s="2">
        <v>21</v>
      </c>
      <c r="C44" s="2">
        <v>0.77026455026454999</v>
      </c>
    </row>
    <row r="45" spans="1:3" x14ac:dyDescent="0.2">
      <c r="A45" s="2">
        <v>1</v>
      </c>
      <c r="B45" s="2">
        <v>21</v>
      </c>
      <c r="C45" s="2">
        <v>0.77026455026454999</v>
      </c>
    </row>
    <row r="46" spans="1:3" x14ac:dyDescent="0.2">
      <c r="A46" s="2">
        <v>1</v>
      </c>
      <c r="B46" s="2">
        <v>22</v>
      </c>
      <c r="C46" s="2">
        <v>0.66982363315696603</v>
      </c>
    </row>
    <row r="47" spans="1:3" x14ac:dyDescent="0.2">
      <c r="A47" s="2">
        <v>1</v>
      </c>
      <c r="B47" s="2">
        <v>22</v>
      </c>
      <c r="C47" s="2">
        <v>0.66982363315696603</v>
      </c>
    </row>
    <row r="48" spans="1:3" x14ac:dyDescent="0.2">
      <c r="A48" s="2">
        <v>1</v>
      </c>
      <c r="B48" s="2">
        <v>23</v>
      </c>
      <c r="C48" s="2">
        <v>0.53121693121693103</v>
      </c>
    </row>
    <row r="49" spans="1:3" x14ac:dyDescent="0.2">
      <c r="A49" s="2">
        <v>1</v>
      </c>
      <c r="B49" s="2">
        <v>23</v>
      </c>
      <c r="C49" s="2">
        <v>0.53121693121693103</v>
      </c>
    </row>
    <row r="50" spans="1:3" x14ac:dyDescent="0.2">
      <c r="A50" s="2">
        <v>2</v>
      </c>
      <c r="B50" s="2">
        <v>0</v>
      </c>
      <c r="C50" s="2">
        <v>0.37382716049382703</v>
      </c>
    </row>
    <row r="51" spans="1:3" x14ac:dyDescent="0.2">
      <c r="A51" s="2">
        <v>2</v>
      </c>
      <c r="B51" s="2">
        <v>0</v>
      </c>
      <c r="C51" s="2">
        <v>0.37382716049382703</v>
      </c>
    </row>
    <row r="52" spans="1:3" x14ac:dyDescent="0.2">
      <c r="A52" s="2">
        <v>2</v>
      </c>
      <c r="B52" s="2">
        <v>1</v>
      </c>
      <c r="C52" s="2">
        <v>0.25723104056437401</v>
      </c>
    </row>
    <row r="53" spans="1:3" x14ac:dyDescent="0.2">
      <c r="A53" s="2">
        <v>2</v>
      </c>
      <c r="B53" s="2">
        <v>1</v>
      </c>
      <c r="C53" s="2">
        <v>0.25723104056437401</v>
      </c>
    </row>
    <row r="54" spans="1:3" x14ac:dyDescent="0.2">
      <c r="A54" s="2">
        <v>2</v>
      </c>
      <c r="B54" s="2">
        <v>2</v>
      </c>
      <c r="C54" s="2">
        <v>0.15552028218694899</v>
      </c>
    </row>
    <row r="55" spans="1:3" x14ac:dyDescent="0.2">
      <c r="A55" s="2">
        <v>2</v>
      </c>
      <c r="B55" s="2">
        <v>2</v>
      </c>
      <c r="C55" s="2">
        <v>0.15552028218694899</v>
      </c>
    </row>
    <row r="56" spans="1:3" x14ac:dyDescent="0.2">
      <c r="A56" s="2">
        <v>2</v>
      </c>
      <c r="B56" s="2">
        <v>3</v>
      </c>
      <c r="C56" s="2">
        <v>0.108871252204586</v>
      </c>
    </row>
    <row r="57" spans="1:3" x14ac:dyDescent="0.2">
      <c r="A57" s="2">
        <v>2</v>
      </c>
      <c r="B57" s="2">
        <v>3</v>
      </c>
      <c r="C57" s="2">
        <v>0.108871252204586</v>
      </c>
    </row>
    <row r="58" spans="1:3" x14ac:dyDescent="0.2">
      <c r="A58" s="2">
        <v>2</v>
      </c>
      <c r="B58" s="2">
        <v>4</v>
      </c>
      <c r="C58" s="2">
        <v>9.7195767195767196E-2</v>
      </c>
    </row>
    <row r="59" spans="1:3" x14ac:dyDescent="0.2">
      <c r="A59" s="2">
        <v>2</v>
      </c>
      <c r="B59" s="2">
        <v>4</v>
      </c>
      <c r="C59" s="2">
        <v>9.7195767195767196E-2</v>
      </c>
    </row>
    <row r="60" spans="1:3" x14ac:dyDescent="0.2">
      <c r="A60" s="2">
        <v>2</v>
      </c>
      <c r="B60" s="2">
        <v>5</v>
      </c>
      <c r="C60" s="2">
        <v>0.08</v>
      </c>
    </row>
    <row r="61" spans="1:3" x14ac:dyDescent="0.2">
      <c r="A61" s="2">
        <v>2</v>
      </c>
      <c r="B61" s="2">
        <v>5</v>
      </c>
      <c r="C61" s="2">
        <v>0.08</v>
      </c>
    </row>
    <row r="62" spans="1:3" x14ac:dyDescent="0.2">
      <c r="A62" s="2">
        <v>2</v>
      </c>
      <c r="B62" s="2">
        <v>6</v>
      </c>
      <c r="C62" s="2">
        <v>7.7248677248677206E-2</v>
      </c>
    </row>
    <row r="63" spans="1:3" x14ac:dyDescent="0.2">
      <c r="A63" s="2">
        <v>2</v>
      </c>
      <c r="B63" s="2">
        <v>6</v>
      </c>
      <c r="C63" s="2">
        <v>7.7248677248677206E-2</v>
      </c>
    </row>
    <row r="64" spans="1:3" x14ac:dyDescent="0.2">
      <c r="A64" s="2">
        <v>2</v>
      </c>
      <c r="B64" s="2">
        <v>7</v>
      </c>
      <c r="C64" s="2">
        <v>9.1393298059964698E-2</v>
      </c>
    </row>
    <row r="65" spans="1:3" x14ac:dyDescent="0.2">
      <c r="A65" s="2">
        <v>2</v>
      </c>
      <c r="B65" s="2">
        <v>7</v>
      </c>
      <c r="C65" s="2">
        <v>9.1393298059964698E-2</v>
      </c>
    </row>
    <row r="66" spans="1:3" x14ac:dyDescent="0.2">
      <c r="A66" s="2">
        <v>2</v>
      </c>
      <c r="B66" s="2">
        <v>8</v>
      </c>
      <c r="C66" s="2">
        <v>0.12858906525573199</v>
      </c>
    </row>
    <row r="67" spans="1:3" x14ac:dyDescent="0.2">
      <c r="A67" s="2">
        <v>2</v>
      </c>
      <c r="B67" s="2">
        <v>8</v>
      </c>
      <c r="C67" s="2">
        <v>0.12858906525573199</v>
      </c>
    </row>
    <row r="68" spans="1:3" x14ac:dyDescent="0.2">
      <c r="A68" s="2">
        <v>2</v>
      </c>
      <c r="B68" s="2">
        <v>9</v>
      </c>
      <c r="C68" s="2">
        <v>0.17735449735449699</v>
      </c>
    </row>
    <row r="69" spans="1:3" x14ac:dyDescent="0.2">
      <c r="A69" s="2">
        <v>2</v>
      </c>
      <c r="B69" s="2">
        <v>9</v>
      </c>
      <c r="C69" s="2">
        <v>0.17735449735449699</v>
      </c>
    </row>
    <row r="70" spans="1:3" x14ac:dyDescent="0.2">
      <c r="A70" s="2">
        <v>2</v>
      </c>
      <c r="B70" s="2">
        <v>10</v>
      </c>
      <c r="C70" s="2">
        <v>0.24649029982363299</v>
      </c>
    </row>
    <row r="71" spans="1:3" x14ac:dyDescent="0.2">
      <c r="A71" s="2">
        <v>2</v>
      </c>
      <c r="B71" s="2">
        <v>10</v>
      </c>
      <c r="C71" s="2">
        <v>0.24649029982363299</v>
      </c>
    </row>
    <row r="72" spans="1:3" x14ac:dyDescent="0.2">
      <c r="A72" s="2">
        <v>2</v>
      </c>
      <c r="B72" s="2">
        <v>11</v>
      </c>
      <c r="C72" s="2">
        <v>0.32442680776014099</v>
      </c>
    </row>
    <row r="73" spans="1:3" x14ac:dyDescent="0.2">
      <c r="A73" s="2">
        <v>2</v>
      </c>
      <c r="B73" s="2">
        <v>11</v>
      </c>
      <c r="C73" s="2">
        <v>0.32442680776014099</v>
      </c>
    </row>
    <row r="74" spans="1:3" x14ac:dyDescent="0.2">
      <c r="A74" s="2">
        <v>2</v>
      </c>
      <c r="B74" s="2">
        <v>12</v>
      </c>
      <c r="C74" s="2">
        <v>0.38904761904761898</v>
      </c>
    </row>
    <row r="75" spans="1:3" x14ac:dyDescent="0.2">
      <c r="A75" s="2">
        <v>2</v>
      </c>
      <c r="B75" s="2">
        <v>12</v>
      </c>
      <c r="C75" s="2">
        <v>0.38904761904761898</v>
      </c>
    </row>
    <row r="76" spans="1:3" x14ac:dyDescent="0.2">
      <c r="A76" s="2">
        <v>2</v>
      </c>
      <c r="B76" s="2">
        <v>13</v>
      </c>
      <c r="C76" s="2">
        <v>0.41463844797178101</v>
      </c>
    </row>
    <row r="77" spans="1:3" x14ac:dyDescent="0.2">
      <c r="A77" s="2">
        <v>2</v>
      </c>
      <c r="B77" s="2">
        <v>13</v>
      </c>
      <c r="C77" s="2">
        <v>0.41463844797178101</v>
      </c>
    </row>
    <row r="78" spans="1:3" x14ac:dyDescent="0.2">
      <c r="A78" s="2">
        <v>2</v>
      </c>
      <c r="B78" s="2">
        <v>14</v>
      </c>
      <c r="C78" s="2">
        <v>0.406067019400353</v>
      </c>
    </row>
    <row r="79" spans="1:3" x14ac:dyDescent="0.2">
      <c r="A79" s="2">
        <v>2</v>
      </c>
      <c r="B79" s="2">
        <v>14</v>
      </c>
      <c r="C79" s="2">
        <v>0.406067019400353</v>
      </c>
    </row>
    <row r="80" spans="1:3" x14ac:dyDescent="0.2">
      <c r="A80" s="2">
        <v>2</v>
      </c>
      <c r="B80" s="2">
        <v>15</v>
      </c>
      <c r="C80" s="2">
        <v>0.38892416225749599</v>
      </c>
    </row>
    <row r="81" spans="1:3" x14ac:dyDescent="0.2">
      <c r="A81" s="2">
        <v>2</v>
      </c>
      <c r="B81" s="2">
        <v>15</v>
      </c>
      <c r="C81" s="2">
        <v>0.38892416225749599</v>
      </c>
    </row>
    <row r="82" spans="1:3" x14ac:dyDescent="0.2">
      <c r="A82" s="2">
        <v>2</v>
      </c>
      <c r="B82" s="2">
        <v>16</v>
      </c>
      <c r="C82" s="2">
        <v>0.41174603174603203</v>
      </c>
    </row>
    <row r="83" spans="1:3" x14ac:dyDescent="0.2">
      <c r="A83" s="2">
        <v>2</v>
      </c>
      <c r="B83" s="2">
        <v>16</v>
      </c>
      <c r="C83" s="2">
        <v>0.41174603174603203</v>
      </c>
    </row>
    <row r="84" spans="1:3" x14ac:dyDescent="0.2">
      <c r="A84" s="2">
        <v>2</v>
      </c>
      <c r="B84" s="2">
        <v>17</v>
      </c>
      <c r="C84" s="2">
        <v>0.49282186948853601</v>
      </c>
    </row>
    <row r="85" spans="1:3" x14ac:dyDescent="0.2">
      <c r="A85" s="2">
        <v>2</v>
      </c>
      <c r="B85" s="2">
        <v>17</v>
      </c>
      <c r="C85" s="2">
        <v>0.49282186948853601</v>
      </c>
    </row>
    <row r="86" spans="1:3" x14ac:dyDescent="0.2">
      <c r="A86" s="2">
        <v>2</v>
      </c>
      <c r="B86" s="2">
        <v>18</v>
      </c>
      <c r="C86" s="2">
        <v>0.61019400352733699</v>
      </c>
    </row>
    <row r="87" spans="1:3" x14ac:dyDescent="0.2">
      <c r="A87" s="2">
        <v>2</v>
      </c>
      <c r="B87" s="2">
        <v>18</v>
      </c>
      <c r="C87" s="2">
        <v>0.61019400352733699</v>
      </c>
    </row>
    <row r="88" spans="1:3" x14ac:dyDescent="0.2">
      <c r="A88" s="2">
        <v>2</v>
      </c>
      <c r="B88" s="2">
        <v>19</v>
      </c>
      <c r="C88" s="2">
        <v>0.724038800705467</v>
      </c>
    </row>
    <row r="89" spans="1:3" x14ac:dyDescent="0.2">
      <c r="A89" s="2">
        <v>2</v>
      </c>
      <c r="B89" s="2">
        <v>19</v>
      </c>
      <c r="C89" s="2">
        <v>0.724038800705467</v>
      </c>
    </row>
    <row r="90" spans="1:3" x14ac:dyDescent="0.2">
      <c r="A90" s="2">
        <v>2</v>
      </c>
      <c r="B90" s="2">
        <v>20</v>
      </c>
      <c r="C90" s="2">
        <v>0.783721340388007</v>
      </c>
    </row>
    <row r="91" spans="1:3" x14ac:dyDescent="0.2">
      <c r="A91" s="2">
        <v>2</v>
      </c>
      <c r="B91" s="2">
        <v>20</v>
      </c>
      <c r="C91" s="2">
        <v>0.783721340388007</v>
      </c>
    </row>
    <row r="92" spans="1:3" x14ac:dyDescent="0.2">
      <c r="A92" s="2">
        <v>2</v>
      </c>
      <c r="B92" s="2">
        <v>21</v>
      </c>
      <c r="C92" s="2">
        <v>0.78652557319224004</v>
      </c>
    </row>
    <row r="93" spans="1:3" x14ac:dyDescent="0.2">
      <c r="A93" s="2">
        <v>2</v>
      </c>
      <c r="B93" s="2">
        <v>21</v>
      </c>
      <c r="C93" s="2">
        <v>0.78652557319224004</v>
      </c>
    </row>
    <row r="94" spans="1:3" x14ac:dyDescent="0.2">
      <c r="A94" s="2">
        <v>2</v>
      </c>
      <c r="B94" s="2">
        <v>22</v>
      </c>
      <c r="C94" s="2">
        <v>0.71141093474426798</v>
      </c>
    </row>
    <row r="95" spans="1:3" x14ac:dyDescent="0.2">
      <c r="A95" s="2">
        <v>2</v>
      </c>
      <c r="B95" s="2">
        <v>22</v>
      </c>
      <c r="C95" s="2">
        <v>0.71141093474426798</v>
      </c>
    </row>
    <row r="96" spans="1:3" x14ac:dyDescent="0.2">
      <c r="A96" s="2">
        <v>2</v>
      </c>
      <c r="B96" s="2">
        <v>23</v>
      </c>
      <c r="C96" s="2">
        <v>0.54447268106734403</v>
      </c>
    </row>
    <row r="97" spans="1:3" x14ac:dyDescent="0.2">
      <c r="A97" s="2">
        <v>2</v>
      </c>
      <c r="B97" s="2">
        <v>23</v>
      </c>
      <c r="C97" s="2">
        <v>0.54447268106734403</v>
      </c>
    </row>
    <row r="98" spans="1:3" x14ac:dyDescent="0.2">
      <c r="A98" s="2">
        <v>3</v>
      </c>
      <c r="B98" s="2">
        <v>0</v>
      </c>
      <c r="C98" s="2">
        <v>0.39487179487179502</v>
      </c>
    </row>
    <row r="99" spans="1:3" x14ac:dyDescent="0.2">
      <c r="A99" s="2">
        <v>3</v>
      </c>
      <c r="B99" s="2">
        <v>0</v>
      </c>
      <c r="C99" s="2">
        <v>0.39487179487179502</v>
      </c>
    </row>
    <row r="100" spans="1:3" x14ac:dyDescent="0.2">
      <c r="A100" s="2">
        <v>3</v>
      </c>
      <c r="B100" s="2">
        <v>1</v>
      </c>
      <c r="C100" s="2">
        <v>0.28048433048433102</v>
      </c>
    </row>
    <row r="101" spans="1:3" x14ac:dyDescent="0.2">
      <c r="A101" s="2">
        <v>3</v>
      </c>
      <c r="B101" s="2">
        <v>1</v>
      </c>
      <c r="C101" s="2">
        <v>0.28048433048433102</v>
      </c>
    </row>
    <row r="102" spans="1:3" x14ac:dyDescent="0.2">
      <c r="A102" s="2">
        <v>3</v>
      </c>
      <c r="B102" s="2">
        <v>2</v>
      </c>
      <c r="C102" s="2">
        <v>0.18472222222222201</v>
      </c>
    </row>
    <row r="103" spans="1:3" x14ac:dyDescent="0.2">
      <c r="A103" s="2">
        <v>3</v>
      </c>
      <c r="B103" s="2">
        <v>2</v>
      </c>
      <c r="C103" s="2">
        <v>0.18472222222222201</v>
      </c>
    </row>
    <row r="104" spans="1:3" x14ac:dyDescent="0.2">
      <c r="A104" s="2">
        <v>3</v>
      </c>
      <c r="B104" s="2">
        <v>3</v>
      </c>
      <c r="C104" s="2">
        <v>0.14152421652421701</v>
      </c>
    </row>
    <row r="105" spans="1:3" x14ac:dyDescent="0.2">
      <c r="A105" s="2">
        <v>3</v>
      </c>
      <c r="B105" s="2">
        <v>3</v>
      </c>
      <c r="C105" s="2">
        <v>0.14152421652421701</v>
      </c>
    </row>
    <row r="106" spans="1:3" x14ac:dyDescent="0.2">
      <c r="A106" s="2">
        <v>3</v>
      </c>
      <c r="B106" s="2">
        <v>4</v>
      </c>
      <c r="C106" s="2">
        <v>0.10892094017094001</v>
      </c>
    </row>
    <row r="107" spans="1:3" x14ac:dyDescent="0.2">
      <c r="A107" s="2">
        <v>3</v>
      </c>
      <c r="B107" s="2">
        <v>4</v>
      </c>
      <c r="C107" s="2">
        <v>0.10892094017094001</v>
      </c>
    </row>
    <row r="108" spans="1:3" x14ac:dyDescent="0.2">
      <c r="A108" s="2">
        <v>3</v>
      </c>
      <c r="B108" s="2">
        <v>5</v>
      </c>
      <c r="C108" s="2">
        <v>9.6420940170940203E-2</v>
      </c>
    </row>
    <row r="109" spans="1:3" x14ac:dyDescent="0.2">
      <c r="A109" s="2">
        <v>3</v>
      </c>
      <c r="B109" s="2">
        <v>5</v>
      </c>
      <c r="C109" s="2">
        <v>9.6420940170940203E-2</v>
      </c>
    </row>
    <row r="110" spans="1:3" x14ac:dyDescent="0.2">
      <c r="A110" s="2">
        <v>3</v>
      </c>
      <c r="B110" s="2">
        <v>6</v>
      </c>
      <c r="C110" s="2">
        <v>7.7403846153846198E-2</v>
      </c>
    </row>
    <row r="111" spans="1:3" x14ac:dyDescent="0.2">
      <c r="A111" s="2">
        <v>3</v>
      </c>
      <c r="B111" s="2">
        <v>6</v>
      </c>
      <c r="C111" s="2">
        <v>7.7403846153846198E-2</v>
      </c>
    </row>
    <row r="112" spans="1:3" x14ac:dyDescent="0.2">
      <c r="A112" s="2">
        <v>3</v>
      </c>
      <c r="B112" s="2">
        <v>7</v>
      </c>
      <c r="C112" s="2">
        <v>8.2015669515669506E-2</v>
      </c>
    </row>
    <row r="113" spans="1:3" x14ac:dyDescent="0.2">
      <c r="A113" s="2">
        <v>3</v>
      </c>
      <c r="B113" s="2">
        <v>7</v>
      </c>
      <c r="C113" s="2">
        <v>8.2015669515669506E-2</v>
      </c>
    </row>
    <row r="114" spans="1:3" x14ac:dyDescent="0.2">
      <c r="A114" s="2">
        <v>3</v>
      </c>
      <c r="B114" s="2">
        <v>8</v>
      </c>
      <c r="C114" s="2">
        <v>0.110915242165242</v>
      </c>
    </row>
    <row r="115" spans="1:3" x14ac:dyDescent="0.2">
      <c r="A115" s="2">
        <v>3</v>
      </c>
      <c r="B115" s="2">
        <v>8</v>
      </c>
      <c r="C115" s="2">
        <v>0.110915242165242</v>
      </c>
    </row>
    <row r="116" spans="1:3" x14ac:dyDescent="0.2">
      <c r="A116" s="2">
        <v>3</v>
      </c>
      <c r="B116" s="2">
        <v>9</v>
      </c>
      <c r="C116" s="2">
        <v>0.181962250712251</v>
      </c>
    </row>
    <row r="117" spans="1:3" x14ac:dyDescent="0.2">
      <c r="A117" s="2">
        <v>3</v>
      </c>
      <c r="B117" s="2">
        <v>9</v>
      </c>
      <c r="C117" s="2">
        <v>0.181962250712251</v>
      </c>
    </row>
    <row r="118" spans="1:3" x14ac:dyDescent="0.2">
      <c r="A118" s="2">
        <v>3</v>
      </c>
      <c r="B118" s="2">
        <v>10</v>
      </c>
      <c r="C118" s="2">
        <v>0.24522792022792</v>
      </c>
    </row>
    <row r="119" spans="1:3" x14ac:dyDescent="0.2">
      <c r="A119" s="2">
        <v>3</v>
      </c>
      <c r="B119" s="2">
        <v>10</v>
      </c>
      <c r="C119" s="2">
        <v>0.24522792022792</v>
      </c>
    </row>
    <row r="120" spans="1:3" x14ac:dyDescent="0.2">
      <c r="A120" s="2">
        <v>3</v>
      </c>
      <c r="B120" s="2">
        <v>11</v>
      </c>
      <c r="C120" s="2">
        <v>0.29683048433048398</v>
      </c>
    </row>
    <row r="121" spans="1:3" x14ac:dyDescent="0.2">
      <c r="A121" s="2">
        <v>3</v>
      </c>
      <c r="B121" s="2">
        <v>11</v>
      </c>
      <c r="C121" s="2">
        <v>0.29683048433048398</v>
      </c>
    </row>
    <row r="122" spans="1:3" x14ac:dyDescent="0.2">
      <c r="A122" s="2">
        <v>3</v>
      </c>
      <c r="B122" s="2">
        <v>12</v>
      </c>
      <c r="C122" s="2">
        <v>0.344907407407407</v>
      </c>
    </row>
    <row r="123" spans="1:3" x14ac:dyDescent="0.2">
      <c r="A123" s="2">
        <v>3</v>
      </c>
      <c r="B123" s="2">
        <v>12</v>
      </c>
      <c r="C123" s="2">
        <v>0.344907407407407</v>
      </c>
    </row>
    <row r="124" spans="1:3" x14ac:dyDescent="0.2">
      <c r="A124" s="2">
        <v>3</v>
      </c>
      <c r="B124" s="2">
        <v>13</v>
      </c>
      <c r="C124" s="2">
        <v>0.36951566951567</v>
      </c>
    </row>
    <row r="125" spans="1:3" x14ac:dyDescent="0.2">
      <c r="A125" s="2">
        <v>3</v>
      </c>
      <c r="B125" s="2">
        <v>13</v>
      </c>
      <c r="C125" s="2">
        <v>0.36951566951567</v>
      </c>
    </row>
    <row r="126" spans="1:3" x14ac:dyDescent="0.2">
      <c r="A126" s="2">
        <v>3</v>
      </c>
      <c r="B126" s="2">
        <v>14</v>
      </c>
      <c r="C126" s="2">
        <v>0.38294159544159501</v>
      </c>
    </row>
    <row r="127" spans="1:3" x14ac:dyDescent="0.2">
      <c r="A127" s="2">
        <v>3</v>
      </c>
      <c r="B127" s="2">
        <v>14</v>
      </c>
      <c r="C127" s="2">
        <v>0.38294159544159501</v>
      </c>
    </row>
    <row r="128" spans="1:3" x14ac:dyDescent="0.2">
      <c r="A128" s="2">
        <v>3</v>
      </c>
      <c r="B128" s="2">
        <v>15</v>
      </c>
      <c r="C128" s="2">
        <v>0.37681623931623898</v>
      </c>
    </row>
    <row r="129" spans="1:3" x14ac:dyDescent="0.2">
      <c r="A129" s="2">
        <v>3</v>
      </c>
      <c r="B129" s="2">
        <v>15</v>
      </c>
      <c r="C129" s="2">
        <v>0.37681623931623898</v>
      </c>
    </row>
    <row r="130" spans="1:3" x14ac:dyDescent="0.2">
      <c r="A130" s="2">
        <v>3</v>
      </c>
      <c r="B130" s="2">
        <v>16</v>
      </c>
      <c r="C130" s="2">
        <v>0.35908119658119703</v>
      </c>
    </row>
    <row r="131" spans="1:3" x14ac:dyDescent="0.2">
      <c r="A131" s="2">
        <v>3</v>
      </c>
      <c r="B131" s="2">
        <v>16</v>
      </c>
      <c r="C131" s="2">
        <v>0.35908119658119703</v>
      </c>
    </row>
    <row r="132" spans="1:3" x14ac:dyDescent="0.2">
      <c r="A132" s="2">
        <v>3</v>
      </c>
      <c r="B132" s="2">
        <v>17</v>
      </c>
      <c r="C132" s="2">
        <v>0.41155626780626797</v>
      </c>
    </row>
    <row r="133" spans="1:3" x14ac:dyDescent="0.2">
      <c r="A133" s="2">
        <v>3</v>
      </c>
      <c r="B133" s="2">
        <v>17</v>
      </c>
      <c r="C133" s="2">
        <v>0.41155626780626797</v>
      </c>
    </row>
    <row r="134" spans="1:3" x14ac:dyDescent="0.2">
      <c r="A134" s="2">
        <v>3</v>
      </c>
      <c r="B134" s="2">
        <v>18</v>
      </c>
      <c r="C134" s="2">
        <v>0.54957264957264995</v>
      </c>
    </row>
    <row r="135" spans="1:3" x14ac:dyDescent="0.2">
      <c r="A135" s="2">
        <v>3</v>
      </c>
      <c r="B135" s="2">
        <v>18</v>
      </c>
      <c r="C135" s="2">
        <v>0.54957264957264995</v>
      </c>
    </row>
    <row r="136" spans="1:3" x14ac:dyDescent="0.2">
      <c r="A136" s="2">
        <v>3</v>
      </c>
      <c r="B136" s="2">
        <v>19</v>
      </c>
      <c r="C136" s="2">
        <v>0.69362535612535603</v>
      </c>
    </row>
    <row r="137" spans="1:3" x14ac:dyDescent="0.2">
      <c r="A137" s="2">
        <v>3</v>
      </c>
      <c r="B137" s="2">
        <v>19</v>
      </c>
      <c r="C137" s="2">
        <v>0.69362535612535603</v>
      </c>
    </row>
    <row r="138" spans="1:3" x14ac:dyDescent="0.2">
      <c r="A138" s="2">
        <v>3</v>
      </c>
      <c r="B138" s="2">
        <v>20</v>
      </c>
      <c r="C138" s="2">
        <v>0.767254273504273</v>
      </c>
    </row>
    <row r="139" spans="1:3" x14ac:dyDescent="0.2">
      <c r="A139" s="2">
        <v>3</v>
      </c>
      <c r="B139" s="2">
        <v>20</v>
      </c>
      <c r="C139" s="2">
        <v>0.767254273504273</v>
      </c>
    </row>
    <row r="140" spans="1:3" x14ac:dyDescent="0.2">
      <c r="A140" s="2">
        <v>3</v>
      </c>
      <c r="B140" s="2">
        <v>21</v>
      </c>
      <c r="C140" s="2">
        <v>0.77594373219373203</v>
      </c>
    </row>
    <row r="141" spans="1:3" x14ac:dyDescent="0.2">
      <c r="A141" s="2">
        <v>3</v>
      </c>
      <c r="B141" s="2">
        <v>21</v>
      </c>
      <c r="C141" s="2">
        <v>0.77594373219373203</v>
      </c>
    </row>
    <row r="142" spans="1:3" x14ac:dyDescent="0.2">
      <c r="A142" s="2">
        <v>3</v>
      </c>
      <c r="B142" s="2">
        <v>22</v>
      </c>
      <c r="C142" s="2">
        <v>0.68452635327635303</v>
      </c>
    </row>
    <row r="143" spans="1:3" x14ac:dyDescent="0.2">
      <c r="A143" s="2">
        <v>3</v>
      </c>
      <c r="B143" s="2">
        <v>22</v>
      </c>
      <c r="C143" s="2">
        <v>0.68452635327635303</v>
      </c>
    </row>
    <row r="144" spans="1:3" x14ac:dyDescent="0.2">
      <c r="A144" s="2">
        <v>3</v>
      </c>
      <c r="B144" s="2">
        <v>23</v>
      </c>
      <c r="C144" s="2">
        <v>0.54398148148148195</v>
      </c>
    </row>
    <row r="145" spans="1:3" x14ac:dyDescent="0.2">
      <c r="A145" s="2">
        <v>3</v>
      </c>
      <c r="B145" s="2">
        <v>23</v>
      </c>
      <c r="C145" s="2">
        <v>0.54398148148148195</v>
      </c>
    </row>
    <row r="146" spans="1:3" x14ac:dyDescent="0.2">
      <c r="A146" s="2">
        <v>4</v>
      </c>
      <c r="B146" s="2">
        <v>0</v>
      </c>
      <c r="C146" s="2">
        <v>0.390633903133903</v>
      </c>
    </row>
    <row r="147" spans="1:3" x14ac:dyDescent="0.2">
      <c r="A147" s="2">
        <v>4</v>
      </c>
      <c r="B147" s="2">
        <v>0</v>
      </c>
      <c r="C147" s="2">
        <v>0.390633903133903</v>
      </c>
    </row>
    <row r="148" spans="1:3" x14ac:dyDescent="0.2">
      <c r="A148" s="2">
        <v>4</v>
      </c>
      <c r="B148" s="2">
        <v>1</v>
      </c>
      <c r="C148" s="2">
        <v>0.26025641025641</v>
      </c>
    </row>
    <row r="149" spans="1:3" x14ac:dyDescent="0.2">
      <c r="A149" s="2">
        <v>4</v>
      </c>
      <c r="B149" s="2">
        <v>1</v>
      </c>
      <c r="C149" s="2">
        <v>0.26025641025641</v>
      </c>
    </row>
    <row r="150" spans="1:3" x14ac:dyDescent="0.2">
      <c r="A150" s="2">
        <v>4</v>
      </c>
      <c r="B150" s="2">
        <v>2</v>
      </c>
      <c r="C150" s="2">
        <v>0.17831196581196601</v>
      </c>
    </row>
    <row r="151" spans="1:3" x14ac:dyDescent="0.2">
      <c r="A151" s="2">
        <v>4</v>
      </c>
      <c r="B151" s="2">
        <v>2</v>
      </c>
      <c r="C151" s="2">
        <v>0.17831196581196601</v>
      </c>
    </row>
    <row r="152" spans="1:3" x14ac:dyDescent="0.2">
      <c r="A152" s="2">
        <v>4</v>
      </c>
      <c r="B152" s="2">
        <v>3</v>
      </c>
      <c r="C152" s="2">
        <v>0.14426638176638201</v>
      </c>
    </row>
    <row r="153" spans="1:3" x14ac:dyDescent="0.2">
      <c r="A153" s="2">
        <v>4</v>
      </c>
      <c r="B153" s="2">
        <v>3</v>
      </c>
      <c r="C153" s="2">
        <v>0.14426638176638201</v>
      </c>
    </row>
    <row r="154" spans="1:3" x14ac:dyDescent="0.2">
      <c r="A154" s="2">
        <v>4</v>
      </c>
      <c r="B154" s="2">
        <v>4</v>
      </c>
      <c r="C154" s="2">
        <v>0.117877492877493</v>
      </c>
    </row>
    <row r="155" spans="1:3" x14ac:dyDescent="0.2">
      <c r="A155" s="2">
        <v>4</v>
      </c>
      <c r="B155" s="2">
        <v>4</v>
      </c>
      <c r="C155" s="2">
        <v>0.117877492877493</v>
      </c>
    </row>
    <row r="156" spans="1:3" x14ac:dyDescent="0.2">
      <c r="A156" s="2">
        <v>4</v>
      </c>
      <c r="B156" s="2">
        <v>5</v>
      </c>
      <c r="C156" s="2">
        <v>9.54059829059829E-2</v>
      </c>
    </row>
    <row r="157" spans="1:3" x14ac:dyDescent="0.2">
      <c r="A157" s="2">
        <v>4</v>
      </c>
      <c r="B157" s="2">
        <v>5</v>
      </c>
      <c r="C157" s="2">
        <v>9.54059829059829E-2</v>
      </c>
    </row>
    <row r="158" spans="1:3" x14ac:dyDescent="0.2">
      <c r="A158" s="2">
        <v>4</v>
      </c>
      <c r="B158" s="2">
        <v>6</v>
      </c>
      <c r="C158" s="2">
        <v>9.6296296296296297E-2</v>
      </c>
    </row>
    <row r="159" spans="1:3" x14ac:dyDescent="0.2">
      <c r="A159" s="2">
        <v>4</v>
      </c>
      <c r="B159" s="2">
        <v>6</v>
      </c>
      <c r="C159" s="2">
        <v>9.6296296296296297E-2</v>
      </c>
    </row>
    <row r="160" spans="1:3" x14ac:dyDescent="0.2">
      <c r="A160" s="2">
        <v>4</v>
      </c>
      <c r="B160" s="2">
        <v>7</v>
      </c>
      <c r="C160" s="2">
        <v>0.107104700854701</v>
      </c>
    </row>
    <row r="161" spans="1:3" x14ac:dyDescent="0.2">
      <c r="A161" s="2">
        <v>4</v>
      </c>
      <c r="B161" s="2">
        <v>7</v>
      </c>
      <c r="C161" s="2">
        <v>0.107104700854701</v>
      </c>
    </row>
    <row r="162" spans="1:3" x14ac:dyDescent="0.2">
      <c r="A162" s="2">
        <v>4</v>
      </c>
      <c r="B162" s="2">
        <v>8</v>
      </c>
      <c r="C162" s="2">
        <v>0.14036680911680899</v>
      </c>
    </row>
    <row r="163" spans="1:3" x14ac:dyDescent="0.2">
      <c r="A163" s="2">
        <v>4</v>
      </c>
      <c r="B163" s="2">
        <v>8</v>
      </c>
      <c r="C163" s="2">
        <v>0.14036680911680899</v>
      </c>
    </row>
    <row r="164" spans="1:3" x14ac:dyDescent="0.2">
      <c r="A164" s="2">
        <v>4</v>
      </c>
      <c r="B164" s="2">
        <v>9</v>
      </c>
      <c r="C164" s="2">
        <v>0.19182692307692301</v>
      </c>
    </row>
    <row r="165" spans="1:3" x14ac:dyDescent="0.2">
      <c r="A165" s="2">
        <v>4</v>
      </c>
      <c r="B165" s="2">
        <v>9</v>
      </c>
      <c r="C165" s="2">
        <v>0.19182692307692301</v>
      </c>
    </row>
    <row r="166" spans="1:3" x14ac:dyDescent="0.2">
      <c r="A166" s="2">
        <v>4</v>
      </c>
      <c r="B166" s="2">
        <v>10</v>
      </c>
      <c r="C166" s="2">
        <v>0.24366096866096901</v>
      </c>
    </row>
    <row r="167" spans="1:3" x14ac:dyDescent="0.2">
      <c r="A167" s="2">
        <v>4</v>
      </c>
      <c r="B167" s="2">
        <v>10</v>
      </c>
      <c r="C167" s="2">
        <v>0.24366096866096901</v>
      </c>
    </row>
    <row r="168" spans="1:3" x14ac:dyDescent="0.2">
      <c r="A168" s="2">
        <v>4</v>
      </c>
      <c r="B168" s="2">
        <v>11</v>
      </c>
      <c r="C168" s="2">
        <v>0.30067663817663798</v>
      </c>
    </row>
    <row r="169" spans="1:3" x14ac:dyDescent="0.2">
      <c r="A169" s="2">
        <v>4</v>
      </c>
      <c r="B169" s="2">
        <v>11</v>
      </c>
      <c r="C169" s="2">
        <v>0.30067663817663798</v>
      </c>
    </row>
    <row r="170" spans="1:3" x14ac:dyDescent="0.2">
      <c r="A170" s="2">
        <v>4</v>
      </c>
      <c r="B170" s="2">
        <v>12</v>
      </c>
      <c r="C170" s="2">
        <v>0.33926282051282097</v>
      </c>
    </row>
    <row r="171" spans="1:3" x14ac:dyDescent="0.2">
      <c r="A171" s="2">
        <v>4</v>
      </c>
      <c r="B171" s="2">
        <v>12</v>
      </c>
      <c r="C171" s="2">
        <v>0.33926282051282097</v>
      </c>
    </row>
    <row r="172" spans="1:3" x14ac:dyDescent="0.2">
      <c r="A172" s="2">
        <v>4</v>
      </c>
      <c r="B172" s="2">
        <v>13</v>
      </c>
      <c r="C172" s="2">
        <v>0.38520299145299097</v>
      </c>
    </row>
    <row r="173" spans="1:3" x14ac:dyDescent="0.2">
      <c r="A173" s="2">
        <v>4</v>
      </c>
      <c r="B173" s="2">
        <v>13</v>
      </c>
      <c r="C173" s="2">
        <v>0.38520299145299097</v>
      </c>
    </row>
    <row r="174" spans="1:3" x14ac:dyDescent="0.2">
      <c r="A174" s="2">
        <v>4</v>
      </c>
      <c r="B174" s="2">
        <v>14</v>
      </c>
      <c r="C174" s="2">
        <v>0.40991809116809103</v>
      </c>
    </row>
    <row r="175" spans="1:3" x14ac:dyDescent="0.2">
      <c r="A175" s="2">
        <v>4</v>
      </c>
      <c r="B175" s="2">
        <v>14</v>
      </c>
      <c r="C175" s="2">
        <v>0.40991809116809103</v>
      </c>
    </row>
    <row r="176" spans="1:3" x14ac:dyDescent="0.2">
      <c r="A176" s="2">
        <v>4</v>
      </c>
      <c r="B176" s="2">
        <v>15</v>
      </c>
      <c r="C176" s="2">
        <v>0.42849002849002799</v>
      </c>
    </row>
    <row r="177" spans="1:3" x14ac:dyDescent="0.2">
      <c r="A177" s="2">
        <v>4</v>
      </c>
      <c r="B177" s="2">
        <v>15</v>
      </c>
      <c r="C177" s="2">
        <v>0.42849002849002799</v>
      </c>
    </row>
    <row r="178" spans="1:3" x14ac:dyDescent="0.2">
      <c r="A178" s="2">
        <v>4</v>
      </c>
      <c r="B178" s="2">
        <v>16</v>
      </c>
      <c r="C178" s="2">
        <v>0.45906339031339</v>
      </c>
    </row>
    <row r="179" spans="1:3" x14ac:dyDescent="0.2">
      <c r="A179" s="2">
        <v>4</v>
      </c>
      <c r="B179" s="2">
        <v>16</v>
      </c>
      <c r="C179" s="2">
        <v>0.45906339031339</v>
      </c>
    </row>
    <row r="180" spans="1:3" x14ac:dyDescent="0.2">
      <c r="A180" s="2">
        <v>4</v>
      </c>
      <c r="B180" s="2">
        <v>17</v>
      </c>
      <c r="C180" s="2">
        <v>0.51517094017094001</v>
      </c>
    </row>
    <row r="181" spans="1:3" x14ac:dyDescent="0.2">
      <c r="A181" s="2">
        <v>4</v>
      </c>
      <c r="B181" s="2">
        <v>17</v>
      </c>
      <c r="C181" s="2">
        <v>0.51517094017094001</v>
      </c>
    </row>
    <row r="182" spans="1:3" x14ac:dyDescent="0.2">
      <c r="A182" s="2">
        <v>4</v>
      </c>
      <c r="B182" s="2">
        <v>18</v>
      </c>
      <c r="C182" s="2">
        <v>0.60568019943019902</v>
      </c>
    </row>
    <row r="183" spans="1:3" x14ac:dyDescent="0.2">
      <c r="A183" s="2">
        <v>4</v>
      </c>
      <c r="B183" s="2">
        <v>18</v>
      </c>
      <c r="C183" s="2">
        <v>0.60568019943019902</v>
      </c>
    </row>
    <row r="184" spans="1:3" x14ac:dyDescent="0.2">
      <c r="A184" s="2">
        <v>4</v>
      </c>
      <c r="B184" s="2">
        <v>19</v>
      </c>
      <c r="C184" s="2">
        <v>0.70619658119658102</v>
      </c>
    </row>
    <row r="185" spans="1:3" x14ac:dyDescent="0.2">
      <c r="A185" s="2">
        <v>4</v>
      </c>
      <c r="B185" s="2">
        <v>19</v>
      </c>
      <c r="C185" s="2">
        <v>0.70619658119658102</v>
      </c>
    </row>
    <row r="186" spans="1:3" x14ac:dyDescent="0.2">
      <c r="A186" s="2">
        <v>4</v>
      </c>
      <c r="B186" s="2">
        <v>20</v>
      </c>
      <c r="C186" s="2">
        <v>0.73173076923076896</v>
      </c>
    </row>
    <row r="187" spans="1:3" x14ac:dyDescent="0.2">
      <c r="A187" s="2">
        <v>4</v>
      </c>
      <c r="B187" s="2">
        <v>20</v>
      </c>
      <c r="C187" s="2">
        <v>0.73173076923076896</v>
      </c>
    </row>
    <row r="188" spans="1:3" x14ac:dyDescent="0.2">
      <c r="A188" s="2">
        <v>4</v>
      </c>
      <c r="B188" s="2">
        <v>21</v>
      </c>
      <c r="C188" s="2">
        <v>0.70541310541310498</v>
      </c>
    </row>
    <row r="189" spans="1:3" x14ac:dyDescent="0.2">
      <c r="A189" s="2">
        <v>4</v>
      </c>
      <c r="B189" s="2">
        <v>21</v>
      </c>
      <c r="C189" s="2">
        <v>0.70541310541310498</v>
      </c>
    </row>
    <row r="190" spans="1:3" x14ac:dyDescent="0.2">
      <c r="A190" s="2">
        <v>4</v>
      </c>
      <c r="B190" s="2">
        <v>22</v>
      </c>
      <c r="C190" s="2">
        <v>0.64376780626780605</v>
      </c>
    </row>
    <row r="191" spans="1:3" x14ac:dyDescent="0.2">
      <c r="A191" s="2">
        <v>4</v>
      </c>
      <c r="B191" s="2">
        <v>22</v>
      </c>
      <c r="C191" s="2">
        <v>0.64376780626780605</v>
      </c>
    </row>
    <row r="192" spans="1:3" x14ac:dyDescent="0.2">
      <c r="A192" s="2">
        <v>4</v>
      </c>
      <c r="B192" s="2">
        <v>23</v>
      </c>
      <c r="C192" s="2">
        <v>0.51223290598290605</v>
      </c>
    </row>
    <row r="193" spans="1:3" x14ac:dyDescent="0.2">
      <c r="A193" s="2">
        <v>4</v>
      </c>
      <c r="B193" s="2">
        <v>23</v>
      </c>
      <c r="C193" s="2">
        <v>0.51223290598290605</v>
      </c>
    </row>
    <row r="194" spans="1:3" x14ac:dyDescent="0.2">
      <c r="A194" s="2">
        <v>5</v>
      </c>
      <c r="B194" s="2">
        <v>0</v>
      </c>
      <c r="C194" s="2">
        <v>0.39643874643874599</v>
      </c>
    </row>
    <row r="195" spans="1:3" x14ac:dyDescent="0.2">
      <c r="A195" s="2">
        <v>5</v>
      </c>
      <c r="B195" s="2">
        <v>0</v>
      </c>
      <c r="C195" s="2">
        <v>0.39643874643874599</v>
      </c>
    </row>
    <row r="196" spans="1:3" x14ac:dyDescent="0.2">
      <c r="A196" s="2">
        <v>5</v>
      </c>
      <c r="B196" s="2">
        <v>1</v>
      </c>
      <c r="C196" s="2">
        <v>0.29239672364672398</v>
      </c>
    </row>
    <row r="197" spans="1:3" x14ac:dyDescent="0.2">
      <c r="A197" s="2">
        <v>5</v>
      </c>
      <c r="B197" s="2">
        <v>1</v>
      </c>
      <c r="C197" s="2">
        <v>0.29239672364672398</v>
      </c>
    </row>
    <row r="198" spans="1:3" x14ac:dyDescent="0.2">
      <c r="A198" s="2">
        <v>5</v>
      </c>
      <c r="B198" s="2">
        <v>2</v>
      </c>
      <c r="C198" s="2">
        <v>0.19925213675213699</v>
      </c>
    </row>
    <row r="199" spans="1:3" x14ac:dyDescent="0.2">
      <c r="A199" s="2">
        <v>5</v>
      </c>
      <c r="B199" s="2">
        <v>2</v>
      </c>
      <c r="C199" s="2">
        <v>0.19925213675213699</v>
      </c>
    </row>
    <row r="200" spans="1:3" x14ac:dyDescent="0.2">
      <c r="A200" s="2">
        <v>5</v>
      </c>
      <c r="B200" s="2">
        <v>3</v>
      </c>
      <c r="C200" s="2">
        <v>0.14932336182336201</v>
      </c>
    </row>
    <row r="201" spans="1:3" x14ac:dyDescent="0.2">
      <c r="A201" s="2">
        <v>5</v>
      </c>
      <c r="B201" s="2">
        <v>3</v>
      </c>
      <c r="C201" s="2">
        <v>0.14932336182336201</v>
      </c>
    </row>
    <row r="202" spans="1:3" x14ac:dyDescent="0.2">
      <c r="A202" s="2">
        <v>5</v>
      </c>
      <c r="B202" s="2">
        <v>4</v>
      </c>
      <c r="C202" s="2">
        <v>0.13680555555555601</v>
      </c>
    </row>
    <row r="203" spans="1:3" x14ac:dyDescent="0.2">
      <c r="A203" s="2">
        <v>5</v>
      </c>
      <c r="B203" s="2">
        <v>4</v>
      </c>
      <c r="C203" s="2">
        <v>0.13680555555555601</v>
      </c>
    </row>
    <row r="204" spans="1:3" x14ac:dyDescent="0.2">
      <c r="A204" s="2">
        <v>5</v>
      </c>
      <c r="B204" s="2">
        <v>5</v>
      </c>
      <c r="C204" s="2">
        <v>0.109312678062678</v>
      </c>
    </row>
    <row r="205" spans="1:3" x14ac:dyDescent="0.2">
      <c r="A205" s="2">
        <v>5</v>
      </c>
      <c r="B205" s="2">
        <v>5</v>
      </c>
      <c r="C205" s="2">
        <v>0.109312678062678</v>
      </c>
    </row>
    <row r="206" spans="1:3" x14ac:dyDescent="0.2">
      <c r="A206" s="2">
        <v>5</v>
      </c>
      <c r="B206" s="2">
        <v>6</v>
      </c>
      <c r="C206" s="2">
        <v>9.5957977207977205E-2</v>
      </c>
    </row>
    <row r="207" spans="1:3" x14ac:dyDescent="0.2">
      <c r="A207" s="2">
        <v>5</v>
      </c>
      <c r="B207" s="2">
        <v>6</v>
      </c>
      <c r="C207" s="2">
        <v>9.5957977207977205E-2</v>
      </c>
    </row>
    <row r="208" spans="1:3" x14ac:dyDescent="0.2">
      <c r="A208" s="2">
        <v>5</v>
      </c>
      <c r="B208" s="2">
        <v>7</v>
      </c>
      <c r="C208" s="2">
        <v>0.110665954415954</v>
      </c>
    </row>
    <row r="209" spans="1:3" x14ac:dyDescent="0.2">
      <c r="A209" s="2">
        <v>5</v>
      </c>
      <c r="B209" s="2">
        <v>7</v>
      </c>
      <c r="C209" s="2">
        <v>0.110665954415954</v>
      </c>
    </row>
    <row r="210" spans="1:3" x14ac:dyDescent="0.2">
      <c r="A210" s="2">
        <v>5</v>
      </c>
      <c r="B210" s="2">
        <v>8</v>
      </c>
      <c r="C210" s="2">
        <v>0.14916310541310501</v>
      </c>
    </row>
    <row r="211" spans="1:3" x14ac:dyDescent="0.2">
      <c r="A211" s="2">
        <v>5</v>
      </c>
      <c r="B211" s="2">
        <v>8</v>
      </c>
      <c r="C211" s="2">
        <v>0.14916310541310501</v>
      </c>
    </row>
    <row r="212" spans="1:3" x14ac:dyDescent="0.2">
      <c r="A212" s="2">
        <v>5</v>
      </c>
      <c r="B212" s="2">
        <v>9</v>
      </c>
      <c r="C212" s="2">
        <v>0.19191595441595399</v>
      </c>
    </row>
    <row r="213" spans="1:3" x14ac:dyDescent="0.2">
      <c r="A213" s="2">
        <v>5</v>
      </c>
      <c r="B213" s="2">
        <v>9</v>
      </c>
      <c r="C213" s="2">
        <v>0.19191595441595399</v>
      </c>
    </row>
    <row r="214" spans="1:3" x14ac:dyDescent="0.2">
      <c r="A214" s="2">
        <v>5</v>
      </c>
      <c r="B214" s="2">
        <v>10</v>
      </c>
      <c r="C214" s="2">
        <v>0.24332264957265001</v>
      </c>
    </row>
    <row r="215" spans="1:3" x14ac:dyDescent="0.2">
      <c r="A215" s="2">
        <v>5</v>
      </c>
      <c r="B215" s="2">
        <v>10</v>
      </c>
      <c r="C215" s="2">
        <v>0.24332264957265001</v>
      </c>
    </row>
    <row r="216" spans="1:3" x14ac:dyDescent="0.2">
      <c r="A216" s="2">
        <v>5</v>
      </c>
      <c r="B216" s="2">
        <v>11</v>
      </c>
      <c r="C216" s="2">
        <v>0.323112535612536</v>
      </c>
    </row>
    <row r="217" spans="1:3" x14ac:dyDescent="0.2">
      <c r="A217" s="2">
        <v>5</v>
      </c>
      <c r="B217" s="2">
        <v>11</v>
      </c>
      <c r="C217" s="2">
        <v>0.323112535612536</v>
      </c>
    </row>
    <row r="218" spans="1:3" x14ac:dyDescent="0.2">
      <c r="A218" s="2">
        <v>5</v>
      </c>
      <c r="B218" s="2">
        <v>12</v>
      </c>
      <c r="C218" s="2">
        <v>0.35334757834757802</v>
      </c>
    </row>
    <row r="219" spans="1:3" x14ac:dyDescent="0.2">
      <c r="A219" s="2">
        <v>5</v>
      </c>
      <c r="B219" s="2">
        <v>12</v>
      </c>
      <c r="C219" s="2">
        <v>0.35334757834757802</v>
      </c>
    </row>
    <row r="220" spans="1:3" x14ac:dyDescent="0.2">
      <c r="A220" s="2">
        <v>5</v>
      </c>
      <c r="B220" s="2">
        <v>13</v>
      </c>
      <c r="C220" s="2">
        <v>0.34569088319088298</v>
      </c>
    </row>
    <row r="221" spans="1:3" x14ac:dyDescent="0.2">
      <c r="A221" s="2">
        <v>5</v>
      </c>
      <c r="B221" s="2">
        <v>13</v>
      </c>
      <c r="C221" s="2">
        <v>0.34569088319088298</v>
      </c>
    </row>
    <row r="222" spans="1:3" x14ac:dyDescent="0.2">
      <c r="A222" s="2">
        <v>5</v>
      </c>
      <c r="B222" s="2">
        <v>14</v>
      </c>
      <c r="C222" s="2">
        <v>0.346207264957265</v>
      </c>
    </row>
    <row r="223" spans="1:3" x14ac:dyDescent="0.2">
      <c r="A223" s="2">
        <v>5</v>
      </c>
      <c r="B223" s="2">
        <v>14</v>
      </c>
      <c r="C223" s="2">
        <v>0.346207264957265</v>
      </c>
    </row>
    <row r="224" spans="1:3" x14ac:dyDescent="0.2">
      <c r="A224" s="2">
        <v>5</v>
      </c>
      <c r="B224" s="2">
        <v>15</v>
      </c>
      <c r="C224" s="2">
        <v>0.35010683760683797</v>
      </c>
    </row>
    <row r="225" spans="1:3" x14ac:dyDescent="0.2">
      <c r="A225" s="2">
        <v>5</v>
      </c>
      <c r="B225" s="2">
        <v>15</v>
      </c>
      <c r="C225" s="2">
        <v>0.35010683760683797</v>
      </c>
    </row>
    <row r="226" spans="1:3" x14ac:dyDescent="0.2">
      <c r="A226" s="2">
        <v>5</v>
      </c>
      <c r="B226" s="2">
        <v>16</v>
      </c>
      <c r="C226" s="2">
        <v>0.38180199430199402</v>
      </c>
    </row>
    <row r="227" spans="1:3" x14ac:dyDescent="0.2">
      <c r="A227" s="2">
        <v>5</v>
      </c>
      <c r="B227" s="2">
        <v>16</v>
      </c>
      <c r="C227" s="2">
        <v>0.38180199430199402</v>
      </c>
    </row>
    <row r="228" spans="1:3" x14ac:dyDescent="0.2">
      <c r="A228" s="2">
        <v>5</v>
      </c>
      <c r="B228" s="2">
        <v>17</v>
      </c>
      <c r="C228" s="2">
        <v>0.44294871794871798</v>
      </c>
    </row>
    <row r="229" spans="1:3" x14ac:dyDescent="0.2">
      <c r="A229" s="2">
        <v>5</v>
      </c>
      <c r="B229" s="2">
        <v>17</v>
      </c>
      <c r="C229" s="2">
        <v>0.44294871794871798</v>
      </c>
    </row>
    <row r="230" spans="1:3" x14ac:dyDescent="0.2">
      <c r="A230" s="2">
        <v>5</v>
      </c>
      <c r="B230" s="2">
        <v>18</v>
      </c>
      <c r="C230" s="2">
        <v>0.53037749287749303</v>
      </c>
    </row>
    <row r="231" spans="1:3" x14ac:dyDescent="0.2">
      <c r="A231" s="2">
        <v>5</v>
      </c>
      <c r="B231" s="2">
        <v>18</v>
      </c>
      <c r="C231" s="2">
        <v>0.53037749287749303</v>
      </c>
    </row>
    <row r="232" spans="1:3" x14ac:dyDescent="0.2">
      <c r="A232" s="2">
        <v>5</v>
      </c>
      <c r="B232" s="2">
        <v>19</v>
      </c>
      <c r="C232" s="2">
        <v>0.64059829059829099</v>
      </c>
    </row>
    <row r="233" spans="1:3" x14ac:dyDescent="0.2">
      <c r="A233" s="2">
        <v>5</v>
      </c>
      <c r="B233" s="2">
        <v>19</v>
      </c>
      <c r="C233" s="2">
        <v>0.64059829059829099</v>
      </c>
    </row>
    <row r="234" spans="1:3" x14ac:dyDescent="0.2">
      <c r="A234" s="2">
        <v>5</v>
      </c>
      <c r="B234" s="2">
        <v>20</v>
      </c>
      <c r="C234" s="2">
        <v>0.73128561253561297</v>
      </c>
    </row>
    <row r="235" spans="1:3" x14ac:dyDescent="0.2">
      <c r="A235" s="2">
        <v>5</v>
      </c>
      <c r="B235" s="2">
        <v>20</v>
      </c>
      <c r="C235" s="2">
        <v>0.73128561253561297</v>
      </c>
    </row>
    <row r="236" spans="1:3" x14ac:dyDescent="0.2">
      <c r="A236" s="2">
        <v>5</v>
      </c>
      <c r="B236" s="2">
        <v>21</v>
      </c>
      <c r="C236" s="2">
        <v>0.74804131054131096</v>
      </c>
    </row>
    <row r="237" spans="1:3" x14ac:dyDescent="0.2">
      <c r="A237" s="2">
        <v>5</v>
      </c>
      <c r="B237" s="2">
        <v>21</v>
      </c>
      <c r="C237" s="2">
        <v>0.74804131054131096</v>
      </c>
    </row>
    <row r="238" spans="1:3" x14ac:dyDescent="0.2">
      <c r="A238" s="2">
        <v>5</v>
      </c>
      <c r="B238" s="2">
        <v>22</v>
      </c>
      <c r="C238" s="2">
        <v>0.66912393162393202</v>
      </c>
    </row>
    <row r="239" spans="1:3" x14ac:dyDescent="0.2">
      <c r="A239" s="2">
        <v>5</v>
      </c>
      <c r="B239" s="2">
        <v>22</v>
      </c>
      <c r="C239" s="2">
        <v>0.66912393162393202</v>
      </c>
    </row>
    <row r="240" spans="1:3" x14ac:dyDescent="0.2">
      <c r="A240" s="2">
        <v>5</v>
      </c>
      <c r="B240" s="2">
        <v>23</v>
      </c>
      <c r="C240" s="2">
        <v>0.538016381766382</v>
      </c>
    </row>
    <row r="241" spans="1:3" x14ac:dyDescent="0.2">
      <c r="A241" s="2">
        <v>5</v>
      </c>
      <c r="B241" s="2">
        <v>23</v>
      </c>
      <c r="C241" s="2">
        <v>0.538016381766382</v>
      </c>
    </row>
    <row r="242" spans="1:3" x14ac:dyDescent="0.2">
      <c r="A242" s="2">
        <v>6</v>
      </c>
      <c r="B242" s="2">
        <v>0</v>
      </c>
      <c r="C242" s="2">
        <v>0.39629629629629598</v>
      </c>
    </row>
    <row r="243" spans="1:3" x14ac:dyDescent="0.2">
      <c r="A243" s="2">
        <v>6</v>
      </c>
      <c r="B243" s="2">
        <v>0</v>
      </c>
      <c r="C243" s="2">
        <v>0.39629629629629598</v>
      </c>
    </row>
    <row r="244" spans="1:3" x14ac:dyDescent="0.2">
      <c r="A244" s="2">
        <v>6</v>
      </c>
      <c r="B244" s="2">
        <v>1</v>
      </c>
      <c r="C244" s="2">
        <v>0.27150997150997103</v>
      </c>
    </row>
    <row r="245" spans="1:3" x14ac:dyDescent="0.2">
      <c r="A245" s="2">
        <v>6</v>
      </c>
      <c r="B245" s="2">
        <v>1</v>
      </c>
      <c r="C245" s="2">
        <v>0.27150997150997103</v>
      </c>
    </row>
    <row r="246" spans="1:3" x14ac:dyDescent="0.2">
      <c r="A246" s="2">
        <v>6</v>
      </c>
      <c r="B246" s="2">
        <v>2</v>
      </c>
      <c r="C246" s="2">
        <v>0.203240740740741</v>
      </c>
    </row>
    <row r="247" spans="1:3" x14ac:dyDescent="0.2">
      <c r="A247" s="2">
        <v>6</v>
      </c>
      <c r="B247" s="2">
        <v>2</v>
      </c>
      <c r="C247" s="2">
        <v>0.203240740740741</v>
      </c>
    </row>
    <row r="248" spans="1:3" x14ac:dyDescent="0.2">
      <c r="A248" s="2">
        <v>6</v>
      </c>
      <c r="B248" s="2">
        <v>3</v>
      </c>
      <c r="C248" s="2">
        <v>0.140562678062678</v>
      </c>
    </row>
    <row r="249" spans="1:3" x14ac:dyDescent="0.2">
      <c r="A249" s="2">
        <v>6</v>
      </c>
      <c r="B249" s="2">
        <v>3</v>
      </c>
      <c r="C249" s="2">
        <v>0.140562678062678</v>
      </c>
    </row>
    <row r="250" spans="1:3" x14ac:dyDescent="0.2">
      <c r="A250" s="2">
        <v>6</v>
      </c>
      <c r="B250" s="2">
        <v>4</v>
      </c>
      <c r="C250" s="2">
        <v>0.110950854700855</v>
      </c>
    </row>
    <row r="251" spans="1:3" x14ac:dyDescent="0.2">
      <c r="A251" s="2">
        <v>6</v>
      </c>
      <c r="B251" s="2">
        <v>4</v>
      </c>
      <c r="C251" s="2">
        <v>0.110950854700855</v>
      </c>
    </row>
    <row r="252" spans="1:3" x14ac:dyDescent="0.2">
      <c r="A252" s="2">
        <v>6</v>
      </c>
      <c r="B252" s="2">
        <v>5</v>
      </c>
      <c r="C252" s="2">
        <v>9.9448005698005701E-2</v>
      </c>
    </row>
    <row r="253" spans="1:3" x14ac:dyDescent="0.2">
      <c r="A253" s="2">
        <v>6</v>
      </c>
      <c r="B253" s="2">
        <v>5</v>
      </c>
      <c r="C253" s="2">
        <v>9.9448005698005701E-2</v>
      </c>
    </row>
    <row r="254" spans="1:3" x14ac:dyDescent="0.2">
      <c r="A254" s="2">
        <v>6</v>
      </c>
      <c r="B254" s="2">
        <v>6</v>
      </c>
      <c r="C254" s="2">
        <v>9.0081908831908794E-2</v>
      </c>
    </row>
    <row r="255" spans="1:3" x14ac:dyDescent="0.2">
      <c r="A255" s="2">
        <v>6</v>
      </c>
      <c r="B255" s="2">
        <v>6</v>
      </c>
      <c r="C255" s="2">
        <v>9.0081908831908794E-2</v>
      </c>
    </row>
    <row r="256" spans="1:3" x14ac:dyDescent="0.2">
      <c r="A256" s="2">
        <v>6</v>
      </c>
      <c r="B256" s="2">
        <v>7</v>
      </c>
      <c r="C256" s="2">
        <v>8.9743589743589702E-2</v>
      </c>
    </row>
    <row r="257" spans="1:3" x14ac:dyDescent="0.2">
      <c r="A257" s="2">
        <v>6</v>
      </c>
      <c r="B257" s="2">
        <v>7</v>
      </c>
      <c r="C257" s="2">
        <v>8.9743589743589702E-2</v>
      </c>
    </row>
    <row r="258" spans="1:3" x14ac:dyDescent="0.2">
      <c r="A258" s="2">
        <v>6</v>
      </c>
      <c r="B258" s="2">
        <v>8</v>
      </c>
      <c r="C258" s="2">
        <v>0.118500712250712</v>
      </c>
    </row>
    <row r="259" spans="1:3" x14ac:dyDescent="0.2">
      <c r="A259" s="2">
        <v>6</v>
      </c>
      <c r="B259" s="2">
        <v>8</v>
      </c>
      <c r="C259" s="2">
        <v>0.118500712250712</v>
      </c>
    </row>
    <row r="260" spans="1:3" x14ac:dyDescent="0.2">
      <c r="A260" s="2">
        <v>6</v>
      </c>
      <c r="B260" s="2">
        <v>9</v>
      </c>
      <c r="C260" s="2">
        <v>0.15386396011396</v>
      </c>
    </row>
    <row r="261" spans="1:3" x14ac:dyDescent="0.2">
      <c r="A261" s="2">
        <v>6</v>
      </c>
      <c r="B261" s="2">
        <v>9</v>
      </c>
      <c r="C261" s="2">
        <v>0.15386396011396</v>
      </c>
    </row>
    <row r="262" spans="1:3" x14ac:dyDescent="0.2">
      <c r="A262" s="2">
        <v>6</v>
      </c>
      <c r="B262" s="2">
        <v>10</v>
      </c>
      <c r="C262" s="2">
        <v>0.19978632478632499</v>
      </c>
    </row>
    <row r="263" spans="1:3" x14ac:dyDescent="0.2">
      <c r="A263" s="2">
        <v>6</v>
      </c>
      <c r="B263" s="2">
        <v>10</v>
      </c>
      <c r="C263" s="2">
        <v>0.19978632478632499</v>
      </c>
    </row>
    <row r="264" spans="1:3" x14ac:dyDescent="0.2">
      <c r="A264" s="2">
        <v>6</v>
      </c>
      <c r="B264" s="2">
        <v>11</v>
      </c>
      <c r="C264" s="2">
        <v>0.25947293447293501</v>
      </c>
    </row>
    <row r="265" spans="1:3" x14ac:dyDescent="0.2">
      <c r="A265" s="2">
        <v>6</v>
      </c>
      <c r="B265" s="2">
        <v>11</v>
      </c>
      <c r="C265" s="2">
        <v>0.25947293447293501</v>
      </c>
    </row>
    <row r="266" spans="1:3" x14ac:dyDescent="0.2">
      <c r="A266" s="2">
        <v>6</v>
      </c>
      <c r="B266" s="2">
        <v>12</v>
      </c>
      <c r="C266" s="2">
        <v>0.27936253561253599</v>
      </c>
    </row>
    <row r="267" spans="1:3" x14ac:dyDescent="0.2">
      <c r="A267" s="2">
        <v>6</v>
      </c>
      <c r="B267" s="2">
        <v>12</v>
      </c>
      <c r="C267" s="2">
        <v>0.27936253561253599</v>
      </c>
    </row>
    <row r="268" spans="1:3" x14ac:dyDescent="0.2">
      <c r="A268" s="2">
        <v>6</v>
      </c>
      <c r="B268" s="2">
        <v>13</v>
      </c>
      <c r="C268" s="2">
        <v>0.293963675213675</v>
      </c>
    </row>
    <row r="269" spans="1:3" x14ac:dyDescent="0.2">
      <c r="A269" s="2">
        <v>6</v>
      </c>
      <c r="B269" s="2">
        <v>13</v>
      </c>
      <c r="C269" s="2">
        <v>0.293963675213675</v>
      </c>
    </row>
    <row r="270" spans="1:3" x14ac:dyDescent="0.2">
      <c r="A270" s="2">
        <v>6</v>
      </c>
      <c r="B270" s="2">
        <v>14</v>
      </c>
      <c r="C270" s="2">
        <v>0.31303418803418798</v>
      </c>
    </row>
    <row r="271" spans="1:3" x14ac:dyDescent="0.2">
      <c r="A271" s="2">
        <v>6</v>
      </c>
      <c r="B271" s="2">
        <v>14</v>
      </c>
      <c r="C271" s="2">
        <v>0.31303418803418798</v>
      </c>
    </row>
    <row r="272" spans="1:3" x14ac:dyDescent="0.2">
      <c r="A272" s="2">
        <v>6</v>
      </c>
      <c r="B272" s="2">
        <v>15</v>
      </c>
      <c r="C272" s="2">
        <v>0.325569800569801</v>
      </c>
    </row>
    <row r="273" spans="1:3" x14ac:dyDescent="0.2">
      <c r="A273" s="2">
        <v>6</v>
      </c>
      <c r="B273" s="2">
        <v>15</v>
      </c>
      <c r="C273" s="2">
        <v>0.325569800569801</v>
      </c>
    </row>
    <row r="274" spans="1:3" x14ac:dyDescent="0.2">
      <c r="A274" s="2">
        <v>6</v>
      </c>
      <c r="B274" s="2">
        <v>16</v>
      </c>
      <c r="C274" s="2">
        <v>0.39107905982905999</v>
      </c>
    </row>
    <row r="275" spans="1:3" x14ac:dyDescent="0.2">
      <c r="A275" s="2">
        <v>6</v>
      </c>
      <c r="B275" s="2">
        <v>16</v>
      </c>
      <c r="C275" s="2">
        <v>0.39107905982905999</v>
      </c>
    </row>
    <row r="276" spans="1:3" x14ac:dyDescent="0.2">
      <c r="A276" s="2">
        <v>6</v>
      </c>
      <c r="B276" s="2">
        <v>17</v>
      </c>
      <c r="C276" s="2">
        <v>0.48847934472934501</v>
      </c>
    </row>
    <row r="277" spans="1:3" x14ac:dyDescent="0.2">
      <c r="A277" s="2">
        <v>6</v>
      </c>
      <c r="B277" s="2">
        <v>17</v>
      </c>
      <c r="C277" s="2">
        <v>0.48847934472934501</v>
      </c>
    </row>
    <row r="278" spans="1:3" x14ac:dyDescent="0.2">
      <c r="A278" s="2">
        <v>6</v>
      </c>
      <c r="B278" s="2">
        <v>18</v>
      </c>
      <c r="C278" s="2">
        <v>0.55398860398860394</v>
      </c>
    </row>
    <row r="279" spans="1:3" x14ac:dyDescent="0.2">
      <c r="A279" s="2">
        <v>6</v>
      </c>
      <c r="B279" s="2">
        <v>18</v>
      </c>
      <c r="C279" s="2">
        <v>0.55398860398860394</v>
      </c>
    </row>
    <row r="280" spans="1:3" x14ac:dyDescent="0.2">
      <c r="A280" s="2">
        <v>6</v>
      </c>
      <c r="B280" s="2">
        <v>19</v>
      </c>
      <c r="C280" s="2">
        <v>0.62154558404558402</v>
      </c>
    </row>
    <row r="281" spans="1:3" x14ac:dyDescent="0.2">
      <c r="A281" s="2">
        <v>6</v>
      </c>
      <c r="B281" s="2">
        <v>19</v>
      </c>
      <c r="C281" s="2">
        <v>0.62154558404558402</v>
      </c>
    </row>
    <row r="282" spans="1:3" x14ac:dyDescent="0.2">
      <c r="A282" s="2">
        <v>6</v>
      </c>
      <c r="B282" s="2">
        <v>20</v>
      </c>
      <c r="C282" s="2">
        <v>0.65982905982906004</v>
      </c>
    </row>
    <row r="283" spans="1:3" x14ac:dyDescent="0.2">
      <c r="A283" s="2">
        <v>6</v>
      </c>
      <c r="B283" s="2">
        <v>20</v>
      </c>
      <c r="C283" s="2">
        <v>0.65982905982906004</v>
      </c>
    </row>
    <row r="284" spans="1:3" x14ac:dyDescent="0.2">
      <c r="A284" s="2">
        <v>6</v>
      </c>
      <c r="B284" s="2">
        <v>21</v>
      </c>
      <c r="C284" s="2">
        <v>0.64782763532763499</v>
      </c>
    </row>
    <row r="285" spans="1:3" x14ac:dyDescent="0.2">
      <c r="A285" s="2">
        <v>6</v>
      </c>
      <c r="B285" s="2">
        <v>21</v>
      </c>
      <c r="C285" s="2">
        <v>0.64782763532763499</v>
      </c>
    </row>
    <row r="286" spans="1:3" x14ac:dyDescent="0.2">
      <c r="A286" s="2">
        <v>6</v>
      </c>
      <c r="B286" s="2">
        <v>22</v>
      </c>
      <c r="C286" s="2">
        <v>0.57802706552706595</v>
      </c>
    </row>
    <row r="287" spans="1:3" x14ac:dyDescent="0.2">
      <c r="A287" s="2">
        <v>6</v>
      </c>
      <c r="B287" s="2">
        <v>22</v>
      </c>
      <c r="C287" s="2">
        <v>0.57802706552706595</v>
      </c>
    </row>
    <row r="288" spans="1:3" x14ac:dyDescent="0.2">
      <c r="A288" s="2">
        <v>6</v>
      </c>
      <c r="B288" s="2">
        <v>23</v>
      </c>
      <c r="C288" s="2">
        <v>0.44626068376068401</v>
      </c>
    </row>
    <row r="289" spans="1:3" x14ac:dyDescent="0.2">
      <c r="A289" s="2">
        <v>6</v>
      </c>
      <c r="B289" s="2">
        <v>23</v>
      </c>
      <c r="C289" s="2">
        <v>0.44626068376068401</v>
      </c>
    </row>
    <row r="290" spans="1:3" x14ac:dyDescent="0.2">
      <c r="A290" s="2">
        <v>7</v>
      </c>
      <c r="B290" s="2">
        <v>0</v>
      </c>
      <c r="C290" s="2">
        <v>0.31080840455840503</v>
      </c>
    </row>
    <row r="291" spans="1:3" x14ac:dyDescent="0.2">
      <c r="A291" s="2">
        <v>7</v>
      </c>
      <c r="B291" s="2">
        <v>0</v>
      </c>
      <c r="C291" s="2">
        <v>0.31080840455840503</v>
      </c>
    </row>
    <row r="292" spans="1:3" x14ac:dyDescent="0.2">
      <c r="A292" s="2">
        <v>7</v>
      </c>
      <c r="B292" s="2">
        <v>1</v>
      </c>
      <c r="C292" s="2">
        <v>0.21392450142450101</v>
      </c>
    </row>
    <row r="293" spans="1:3" x14ac:dyDescent="0.2">
      <c r="A293" s="2">
        <v>7</v>
      </c>
      <c r="B293" s="2">
        <v>1</v>
      </c>
      <c r="C293" s="2">
        <v>0.21392450142450101</v>
      </c>
    </row>
    <row r="294" spans="1:3" x14ac:dyDescent="0.2">
      <c r="A294" s="2">
        <v>7</v>
      </c>
      <c r="B294" s="2">
        <v>2</v>
      </c>
      <c r="C294" s="2">
        <v>0.15352564102564101</v>
      </c>
    </row>
    <row r="295" spans="1:3" x14ac:dyDescent="0.2">
      <c r="A295" s="2">
        <v>7</v>
      </c>
      <c r="B295" s="2">
        <v>2</v>
      </c>
      <c r="C295" s="2">
        <v>0.15352564102564101</v>
      </c>
    </row>
    <row r="296" spans="1:3" x14ac:dyDescent="0.2">
      <c r="A296" s="2">
        <v>7</v>
      </c>
      <c r="B296" s="2">
        <v>3</v>
      </c>
      <c r="C296" s="2">
        <v>0.108974358974359</v>
      </c>
    </row>
    <row r="297" spans="1:3" x14ac:dyDescent="0.2">
      <c r="A297" s="2">
        <v>7</v>
      </c>
      <c r="B297" s="2">
        <v>3</v>
      </c>
      <c r="C297" s="2">
        <v>0.108974358974359</v>
      </c>
    </row>
    <row r="298" spans="1:3" x14ac:dyDescent="0.2">
      <c r="A298" s="2">
        <v>7</v>
      </c>
      <c r="B298" s="2">
        <v>4</v>
      </c>
      <c r="C298" s="2">
        <v>0.10498575498575501</v>
      </c>
    </row>
    <row r="299" spans="1:3" x14ac:dyDescent="0.2">
      <c r="A299" s="2">
        <v>7</v>
      </c>
      <c r="B299" s="2">
        <v>4</v>
      </c>
      <c r="C299" s="2">
        <v>0.10498575498575501</v>
      </c>
    </row>
    <row r="300" spans="1:3" x14ac:dyDescent="0.2">
      <c r="A300" s="2">
        <v>7</v>
      </c>
      <c r="B300" s="2">
        <v>5</v>
      </c>
      <c r="C300" s="2">
        <v>8.2300569800569795E-2</v>
      </c>
    </row>
    <row r="301" spans="1:3" x14ac:dyDescent="0.2">
      <c r="A301" s="2">
        <v>7</v>
      </c>
      <c r="B301" s="2">
        <v>5</v>
      </c>
      <c r="C301" s="2">
        <v>8.2300569800569795E-2</v>
      </c>
    </row>
    <row r="302" spans="1:3" x14ac:dyDescent="0.2">
      <c r="A302" s="2">
        <v>7</v>
      </c>
      <c r="B302" s="2">
        <v>6</v>
      </c>
      <c r="C302" s="2">
        <v>5.6944444444444402E-2</v>
      </c>
    </row>
    <row r="303" spans="1:3" x14ac:dyDescent="0.2">
      <c r="A303" s="2">
        <v>7</v>
      </c>
      <c r="B303" s="2">
        <v>6</v>
      </c>
      <c r="C303" s="2">
        <v>5.6944444444444402E-2</v>
      </c>
    </row>
    <row r="304" spans="1:3" x14ac:dyDescent="0.2">
      <c r="A304" s="2">
        <v>7</v>
      </c>
      <c r="B304" s="2">
        <v>7</v>
      </c>
      <c r="C304" s="2">
        <v>5.1691595441595399E-2</v>
      </c>
    </row>
    <row r="305" spans="1:3" x14ac:dyDescent="0.2">
      <c r="A305" s="2">
        <v>7</v>
      </c>
      <c r="B305" s="2">
        <v>7</v>
      </c>
      <c r="C305" s="2">
        <v>5.1691595441595399E-2</v>
      </c>
    </row>
    <row r="306" spans="1:3" x14ac:dyDescent="0.2">
      <c r="A306" s="2">
        <v>7</v>
      </c>
      <c r="B306" s="2">
        <v>8</v>
      </c>
      <c r="C306" s="2">
        <v>8.4312678062678101E-2</v>
      </c>
    </row>
    <row r="307" spans="1:3" x14ac:dyDescent="0.2">
      <c r="A307" s="2">
        <v>7</v>
      </c>
      <c r="B307" s="2">
        <v>8</v>
      </c>
      <c r="C307" s="2">
        <v>8.4312678062678101E-2</v>
      </c>
    </row>
    <row r="308" spans="1:3" x14ac:dyDescent="0.2">
      <c r="A308" s="2">
        <v>7</v>
      </c>
      <c r="B308" s="2">
        <v>9</v>
      </c>
      <c r="C308" s="2">
        <v>0.13237179487179501</v>
      </c>
    </row>
    <row r="309" spans="1:3" x14ac:dyDescent="0.2">
      <c r="A309" s="2">
        <v>7</v>
      </c>
      <c r="B309" s="2">
        <v>9</v>
      </c>
      <c r="C309" s="2">
        <v>0.13237179487179501</v>
      </c>
    </row>
    <row r="310" spans="1:3" x14ac:dyDescent="0.2">
      <c r="A310" s="2">
        <v>7</v>
      </c>
      <c r="B310" s="2">
        <v>10</v>
      </c>
      <c r="C310" s="2">
        <v>0.19480056980057001</v>
      </c>
    </row>
    <row r="311" spans="1:3" x14ac:dyDescent="0.2">
      <c r="A311" s="2">
        <v>7</v>
      </c>
      <c r="B311" s="2">
        <v>10</v>
      </c>
      <c r="C311" s="2">
        <v>0.19480056980057001</v>
      </c>
    </row>
    <row r="312" spans="1:3" x14ac:dyDescent="0.2">
      <c r="A312" s="2">
        <v>7</v>
      </c>
      <c r="B312" s="2">
        <v>11</v>
      </c>
      <c r="C312" s="2">
        <v>0.30272435897435901</v>
      </c>
    </row>
    <row r="313" spans="1:3" x14ac:dyDescent="0.2">
      <c r="A313" s="2">
        <v>7</v>
      </c>
      <c r="B313" s="2">
        <v>11</v>
      </c>
      <c r="C313" s="2">
        <v>0.30272435897435901</v>
      </c>
    </row>
    <row r="314" spans="1:3" x14ac:dyDescent="0.2">
      <c r="A314" s="2">
        <v>7</v>
      </c>
      <c r="B314" s="2">
        <v>12</v>
      </c>
      <c r="C314" s="2">
        <v>0.41148504273504299</v>
      </c>
    </row>
    <row r="315" spans="1:3" x14ac:dyDescent="0.2">
      <c r="A315" s="2">
        <v>7</v>
      </c>
      <c r="B315" s="2">
        <v>12</v>
      </c>
      <c r="C315" s="2">
        <v>0.41148504273504299</v>
      </c>
    </row>
    <row r="316" spans="1:3" x14ac:dyDescent="0.2">
      <c r="A316" s="2">
        <v>7</v>
      </c>
      <c r="B316" s="2">
        <v>13</v>
      </c>
      <c r="C316" s="2">
        <v>0.46842948717948701</v>
      </c>
    </row>
    <row r="317" spans="1:3" x14ac:dyDescent="0.2">
      <c r="A317" s="2">
        <v>7</v>
      </c>
      <c r="B317" s="2">
        <v>13</v>
      </c>
      <c r="C317" s="2">
        <v>0.46842948717948701</v>
      </c>
    </row>
    <row r="318" spans="1:3" x14ac:dyDescent="0.2">
      <c r="A318" s="2">
        <v>7</v>
      </c>
      <c r="B318" s="2">
        <v>14</v>
      </c>
      <c r="C318" s="2">
        <v>0.51661324786324803</v>
      </c>
    </row>
    <row r="319" spans="1:3" x14ac:dyDescent="0.2">
      <c r="A319" s="2">
        <v>7</v>
      </c>
      <c r="B319" s="2">
        <v>14</v>
      </c>
      <c r="C319" s="2">
        <v>0.51661324786324803</v>
      </c>
    </row>
    <row r="320" spans="1:3" x14ac:dyDescent="0.2">
      <c r="A320" s="2">
        <v>7</v>
      </c>
      <c r="B320" s="2">
        <v>15</v>
      </c>
      <c r="C320" s="2">
        <v>0.59663461538461504</v>
      </c>
    </row>
    <row r="321" spans="1:3" x14ac:dyDescent="0.2">
      <c r="A321" s="2">
        <v>7</v>
      </c>
      <c r="B321" s="2">
        <v>15</v>
      </c>
      <c r="C321" s="2">
        <v>0.59663461538461504</v>
      </c>
    </row>
    <row r="322" spans="1:3" x14ac:dyDescent="0.2">
      <c r="A322" s="2">
        <v>7</v>
      </c>
      <c r="B322" s="2">
        <v>16</v>
      </c>
      <c r="C322" s="2">
        <v>0.62263176638176598</v>
      </c>
    </row>
    <row r="323" spans="1:3" x14ac:dyDescent="0.2">
      <c r="A323" s="2">
        <v>7</v>
      </c>
      <c r="B323" s="2">
        <v>16</v>
      </c>
      <c r="C323" s="2">
        <v>0.62263176638176598</v>
      </c>
    </row>
    <row r="324" spans="1:3" x14ac:dyDescent="0.2">
      <c r="A324" s="2">
        <v>7</v>
      </c>
      <c r="B324" s="2">
        <v>17</v>
      </c>
      <c r="C324" s="2">
        <v>0.637126068376068</v>
      </c>
    </row>
    <row r="325" spans="1:3" x14ac:dyDescent="0.2">
      <c r="A325" s="2">
        <v>7</v>
      </c>
      <c r="B325" s="2">
        <v>17</v>
      </c>
      <c r="C325" s="2">
        <v>0.637126068376068</v>
      </c>
    </row>
    <row r="326" spans="1:3" x14ac:dyDescent="0.2">
      <c r="A326" s="2">
        <v>7</v>
      </c>
      <c r="B326" s="2">
        <v>18</v>
      </c>
      <c r="C326" s="2">
        <v>0.65105056980056997</v>
      </c>
    </row>
    <row r="327" spans="1:3" x14ac:dyDescent="0.2">
      <c r="A327" s="2">
        <v>7</v>
      </c>
      <c r="B327" s="2">
        <v>18</v>
      </c>
      <c r="C327" s="2">
        <v>0.65105056980056997</v>
      </c>
    </row>
    <row r="328" spans="1:3" x14ac:dyDescent="0.2">
      <c r="A328" s="2">
        <v>7</v>
      </c>
      <c r="B328" s="2">
        <v>19</v>
      </c>
      <c r="C328" s="2">
        <v>0.65587606837606804</v>
      </c>
    </row>
    <row r="329" spans="1:3" x14ac:dyDescent="0.2">
      <c r="A329" s="2">
        <v>7</v>
      </c>
      <c r="B329" s="2">
        <v>19</v>
      </c>
      <c r="C329" s="2">
        <v>0.65587606837606804</v>
      </c>
    </row>
    <row r="330" spans="1:3" x14ac:dyDescent="0.2">
      <c r="A330" s="2">
        <v>7</v>
      </c>
      <c r="B330" s="2">
        <v>20</v>
      </c>
      <c r="C330" s="2">
        <v>0.65680199430199404</v>
      </c>
    </row>
    <row r="331" spans="1:3" x14ac:dyDescent="0.2">
      <c r="A331" s="2">
        <v>7</v>
      </c>
      <c r="B331" s="2">
        <v>20</v>
      </c>
      <c r="C331" s="2">
        <v>0.65680199430199404</v>
      </c>
    </row>
    <row r="332" spans="1:3" x14ac:dyDescent="0.2">
      <c r="A332" s="2">
        <v>7</v>
      </c>
      <c r="B332" s="2">
        <v>21</v>
      </c>
      <c r="C332" s="2">
        <v>0.67207977207977199</v>
      </c>
    </row>
    <row r="333" spans="1:3" x14ac:dyDescent="0.2">
      <c r="A333" s="2">
        <v>7</v>
      </c>
      <c r="B333" s="2">
        <v>21</v>
      </c>
      <c r="C333" s="2">
        <v>0.67207977207977199</v>
      </c>
    </row>
    <row r="334" spans="1:3" x14ac:dyDescent="0.2">
      <c r="A334" s="2">
        <v>7</v>
      </c>
      <c r="B334" s="2">
        <v>22</v>
      </c>
      <c r="C334" s="2">
        <v>0.62099358974358998</v>
      </c>
    </row>
    <row r="335" spans="1:3" x14ac:dyDescent="0.2">
      <c r="A335" s="2">
        <v>7</v>
      </c>
      <c r="B335" s="2">
        <v>22</v>
      </c>
      <c r="C335" s="2">
        <v>0.62099358974358998</v>
      </c>
    </row>
    <row r="336" spans="1:3" x14ac:dyDescent="0.2">
      <c r="A336" s="2">
        <v>7</v>
      </c>
      <c r="B336" s="2">
        <v>23</v>
      </c>
      <c r="C336" s="2">
        <v>0.52608618233618198</v>
      </c>
    </row>
    <row r="337" spans="1:3" x14ac:dyDescent="0.2">
      <c r="A337" s="2">
        <v>7</v>
      </c>
      <c r="B337" s="2">
        <v>23</v>
      </c>
      <c r="C337" s="2">
        <v>0.52608618233618198</v>
      </c>
    </row>
  </sheetData>
  <sortState ref="A2:C337">
    <sortCondition ref="A2:A337"/>
    <sortCondition ref="B2:B33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Optimization</vt:lpstr>
      <vt:lpstr>Load</vt:lpstr>
    </vt:vector>
  </TitlesOfParts>
  <Company>Mayo Clinic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 Roh</dc:creator>
  <cp:lastModifiedBy>Thomas P Roh</cp:lastModifiedBy>
  <dcterms:created xsi:type="dcterms:W3CDTF">2014-06-17T19:39:04Z</dcterms:created>
  <dcterms:modified xsi:type="dcterms:W3CDTF">2015-03-14T19:38:31Z</dcterms:modified>
</cp:coreProperties>
</file>